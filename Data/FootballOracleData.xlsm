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PF2014\Data\"/>
    </mc:Choice>
  </mc:AlternateContent>
  <bookViews>
    <workbookView xWindow="0" yWindow="0" windowWidth="28800" windowHeight="12585" activeTab="6"/>
  </bookViews>
  <sheets>
    <sheet name="Constants" sheetId="4" r:id="rId1"/>
    <sheet name="Organisation" sheetId="7" r:id="rId2"/>
    <sheet name="OrganisationV" sheetId="1" r:id="rId3"/>
    <sheet name="Country" sheetId="8" r:id="rId4"/>
    <sheet name="CountryV" sheetId="3" r:id="rId5"/>
    <sheet name="Competition" sheetId="9" r:id="rId6"/>
    <sheet name="CompetitionV" sheetId="10" r:id="rId7"/>
  </sheets>
  <functionGroups builtInGroupCount="18"/>
  <definedNames>
    <definedName name="AdminLookup">Constants!$A$4:$B$4</definedName>
    <definedName name="DateConstants">Constants!$A$1:$B$2</definedName>
    <definedName name="OrganisationLookup">#REF!</definedName>
  </definedNames>
  <calcPr calcId="152511"/>
</workbook>
</file>

<file path=xl/calcChain.xml><?xml version="1.0" encoding="utf-8"?>
<calcChain xmlns="http://schemas.openxmlformats.org/spreadsheetml/2006/main">
  <c r="O24" i="10" l="1"/>
  <c r="M24" i="10"/>
  <c r="L24" i="10"/>
  <c r="N24" i="10" s="1"/>
  <c r="O23" i="10"/>
  <c r="M23" i="10"/>
  <c r="L23" i="10"/>
  <c r="N23" i="10" s="1"/>
  <c r="O22" i="10"/>
  <c r="M22" i="10"/>
  <c r="L22" i="10"/>
  <c r="N22" i="10" s="1"/>
  <c r="O21" i="10"/>
  <c r="M21" i="10"/>
  <c r="L21" i="10"/>
  <c r="N21" i="10" s="1"/>
  <c r="O20" i="10"/>
  <c r="M20" i="10"/>
  <c r="L20" i="10"/>
  <c r="N20" i="10" s="1"/>
  <c r="I20" i="10"/>
  <c r="O24" i="1"/>
  <c r="M24" i="1"/>
  <c r="L24" i="1"/>
  <c r="N24" i="1" s="1"/>
  <c r="I24" i="1"/>
  <c r="H24" i="1"/>
  <c r="I19" i="10"/>
  <c r="O19" i="10"/>
  <c r="M19" i="10"/>
  <c r="L19" i="10"/>
  <c r="N19" i="10" s="1"/>
  <c r="O18" i="10"/>
  <c r="M18" i="10"/>
  <c r="L18" i="10"/>
  <c r="N18" i="10" s="1"/>
  <c r="O17" i="10"/>
  <c r="M17" i="10"/>
  <c r="L17" i="10"/>
  <c r="N17" i="10" s="1"/>
  <c r="O23" i="1"/>
  <c r="M23" i="1"/>
  <c r="L23" i="1"/>
  <c r="N23" i="1" s="1"/>
  <c r="I23" i="1"/>
  <c r="H23" i="1"/>
  <c r="O16" i="10"/>
  <c r="M16" i="10"/>
  <c r="L16" i="10"/>
  <c r="N16" i="10" s="1"/>
  <c r="I16" i="10"/>
  <c r="O15" i="10"/>
  <c r="M15" i="10"/>
  <c r="L15" i="10"/>
  <c r="N15" i="10" s="1"/>
  <c r="O14" i="10"/>
  <c r="M14" i="10"/>
  <c r="L14" i="10"/>
  <c r="N14" i="10" s="1"/>
  <c r="I13" i="10"/>
  <c r="O13" i="10"/>
  <c r="M13" i="10"/>
  <c r="L13" i="10"/>
  <c r="N13" i="10" s="1"/>
  <c r="O12" i="10"/>
  <c r="M12" i="10"/>
  <c r="L12" i="10"/>
  <c r="N12" i="10" s="1"/>
  <c r="O11" i="10"/>
  <c r="M11" i="10"/>
  <c r="L11" i="10"/>
  <c r="N11" i="10" s="1"/>
  <c r="O10" i="10"/>
  <c r="M10" i="10"/>
  <c r="L10" i="10"/>
  <c r="N10" i="10" s="1"/>
  <c r="O9" i="10"/>
  <c r="M9" i="10"/>
  <c r="L9" i="10"/>
  <c r="N9" i="10" s="1"/>
  <c r="O8" i="10"/>
  <c r="M8" i="10"/>
  <c r="L8" i="10"/>
  <c r="N8" i="10" s="1"/>
  <c r="I7" i="10"/>
  <c r="O7" i="10"/>
  <c r="M7" i="10"/>
  <c r="L7" i="10"/>
  <c r="N7" i="10" s="1"/>
  <c r="O6" i="10"/>
  <c r="M6" i="10"/>
  <c r="L6" i="10"/>
  <c r="N6" i="10" s="1"/>
  <c r="O5" i="10"/>
  <c r="M5" i="10"/>
  <c r="L5" i="10"/>
  <c r="N5" i="10" s="1"/>
  <c r="O4" i="10"/>
  <c r="M4" i="10"/>
  <c r="L4" i="10"/>
  <c r="N4" i="10" s="1"/>
  <c r="O3" i="10"/>
  <c r="M3" i="10"/>
  <c r="L3" i="10"/>
  <c r="N3" i="10" s="1"/>
  <c r="O22" i="1"/>
  <c r="M22" i="1"/>
  <c r="L22" i="1"/>
  <c r="N22" i="1" s="1"/>
  <c r="I22" i="1"/>
  <c r="H22" i="1"/>
  <c r="O21" i="1"/>
  <c r="M21" i="1"/>
  <c r="L21" i="1"/>
  <c r="N21" i="1" s="1"/>
  <c r="I21" i="1"/>
  <c r="H21" i="1"/>
  <c r="B2" i="10"/>
  <c r="O2" i="10"/>
  <c r="M2" i="10"/>
  <c r="L2" i="10"/>
  <c r="N2" i="10" s="1"/>
  <c r="I2" i="10"/>
  <c r="B20" i="1"/>
  <c r="D272" i="3" s="1"/>
  <c r="B19" i="1"/>
  <c r="D206" i="3" s="1"/>
  <c r="B18" i="1"/>
  <c r="D188" i="3" s="1"/>
  <c r="B17" i="1"/>
  <c r="D181" i="3" s="1"/>
  <c r="B16" i="1"/>
  <c r="D147" i="3" s="1"/>
  <c r="B15" i="1"/>
  <c r="D138" i="3" s="1"/>
  <c r="B14" i="1"/>
  <c r="E15" i="1" s="1"/>
  <c r="B13" i="1"/>
  <c r="B12" i="1"/>
  <c r="B11" i="1"/>
  <c r="B10" i="1"/>
  <c r="B9" i="1"/>
  <c r="B8" i="1"/>
  <c r="B7" i="1"/>
  <c r="B6" i="1"/>
  <c r="B5" i="1"/>
  <c r="B4" i="1"/>
  <c r="B3" i="1"/>
  <c r="N272" i="3"/>
  <c r="L272" i="3"/>
  <c r="K272" i="3"/>
  <c r="M272" i="3" s="1"/>
  <c r="H272" i="3"/>
  <c r="G272" i="3"/>
  <c r="N271" i="3"/>
  <c r="L271" i="3"/>
  <c r="K271" i="3"/>
  <c r="M271" i="3" s="1"/>
  <c r="H271" i="3"/>
  <c r="G271" i="3"/>
  <c r="N270" i="3"/>
  <c r="M270" i="3"/>
  <c r="L270" i="3"/>
  <c r="K270" i="3"/>
  <c r="H270" i="3"/>
  <c r="G270" i="3"/>
  <c r="D270" i="3"/>
  <c r="N269" i="3"/>
  <c r="L269" i="3"/>
  <c r="K269" i="3"/>
  <c r="M269" i="3" s="1"/>
  <c r="H269" i="3"/>
  <c r="G269" i="3"/>
  <c r="D269" i="3"/>
  <c r="N268" i="3"/>
  <c r="L268" i="3"/>
  <c r="K268" i="3"/>
  <c r="M268" i="3" s="1"/>
  <c r="H268" i="3"/>
  <c r="G268" i="3"/>
  <c r="D268" i="3"/>
  <c r="N267" i="3"/>
  <c r="L267" i="3"/>
  <c r="K267" i="3"/>
  <c r="M267" i="3" s="1"/>
  <c r="H267" i="3"/>
  <c r="G267" i="3"/>
  <c r="D267" i="3"/>
  <c r="N266" i="3"/>
  <c r="L266" i="3"/>
  <c r="K266" i="3"/>
  <c r="M266" i="3" s="1"/>
  <c r="H266" i="3"/>
  <c r="G266" i="3"/>
  <c r="D266" i="3"/>
  <c r="N265" i="3"/>
  <c r="M265" i="3"/>
  <c r="L265" i="3"/>
  <c r="K265" i="3"/>
  <c r="H265" i="3"/>
  <c r="G265" i="3"/>
  <c r="D265" i="3"/>
  <c r="N264" i="3"/>
  <c r="L264" i="3"/>
  <c r="K264" i="3"/>
  <c r="M264" i="3" s="1"/>
  <c r="H264" i="3"/>
  <c r="G264" i="3"/>
  <c r="D264" i="3"/>
  <c r="N263" i="3"/>
  <c r="L263" i="3"/>
  <c r="K263" i="3"/>
  <c r="M263" i="3" s="1"/>
  <c r="H263" i="3"/>
  <c r="G263" i="3"/>
  <c r="N262" i="3"/>
  <c r="M262" i="3"/>
  <c r="L262" i="3"/>
  <c r="K262" i="3"/>
  <c r="D262" i="3"/>
  <c r="N261" i="3"/>
  <c r="L261" i="3"/>
  <c r="K261" i="3"/>
  <c r="M261" i="3" s="1"/>
  <c r="H261" i="3"/>
  <c r="D261" i="3"/>
  <c r="N260" i="3"/>
  <c r="L260" i="3"/>
  <c r="K260" i="3"/>
  <c r="M260" i="3" s="1"/>
  <c r="D260" i="3"/>
  <c r="N259" i="3"/>
  <c r="L259" i="3"/>
  <c r="K259" i="3"/>
  <c r="M259" i="3" s="1"/>
  <c r="D259" i="3"/>
  <c r="N258" i="3"/>
  <c r="L258" i="3"/>
  <c r="K258" i="3"/>
  <c r="M258" i="3" s="1"/>
  <c r="G258" i="3"/>
  <c r="N257" i="3"/>
  <c r="L257" i="3"/>
  <c r="K257" i="3"/>
  <c r="M257" i="3" s="1"/>
  <c r="H257" i="3"/>
  <c r="G257" i="3"/>
  <c r="D257" i="3"/>
  <c r="N256" i="3"/>
  <c r="L256" i="3"/>
  <c r="K256" i="3"/>
  <c r="M256" i="3" s="1"/>
  <c r="H256" i="3"/>
  <c r="G256" i="3"/>
  <c r="D256" i="3"/>
  <c r="N255" i="3"/>
  <c r="M255" i="3"/>
  <c r="L255" i="3"/>
  <c r="K255" i="3"/>
  <c r="H255" i="3"/>
  <c r="D255" i="3"/>
  <c r="N254" i="3"/>
  <c r="L254" i="3"/>
  <c r="K254" i="3"/>
  <c r="M254" i="3" s="1"/>
  <c r="G254" i="3"/>
  <c r="D254" i="3"/>
  <c r="N253" i="3"/>
  <c r="L253" i="3"/>
  <c r="K253" i="3"/>
  <c r="M253" i="3" s="1"/>
  <c r="H253" i="3"/>
  <c r="G253" i="3"/>
  <c r="D253" i="3"/>
  <c r="N252" i="3"/>
  <c r="L252" i="3"/>
  <c r="K252" i="3"/>
  <c r="M252" i="3" s="1"/>
  <c r="H252" i="3"/>
  <c r="G252" i="3"/>
  <c r="D252" i="3"/>
  <c r="N251" i="3"/>
  <c r="L251" i="3"/>
  <c r="K251" i="3"/>
  <c r="M251" i="3" s="1"/>
  <c r="H251" i="3"/>
  <c r="G251" i="3"/>
  <c r="D251" i="3"/>
  <c r="N250" i="3"/>
  <c r="L250" i="3"/>
  <c r="K250" i="3"/>
  <c r="M250" i="3" s="1"/>
  <c r="H250" i="3"/>
  <c r="D250" i="3"/>
  <c r="N249" i="3"/>
  <c r="M249" i="3"/>
  <c r="L249" i="3"/>
  <c r="K249" i="3"/>
  <c r="G249" i="3"/>
  <c r="D249" i="3"/>
  <c r="N248" i="3"/>
  <c r="L248" i="3"/>
  <c r="K248" i="3"/>
  <c r="M248" i="3" s="1"/>
  <c r="H248" i="3"/>
  <c r="G248" i="3"/>
  <c r="D248" i="3"/>
  <c r="N247" i="3"/>
  <c r="L247" i="3"/>
  <c r="K247" i="3"/>
  <c r="M247" i="3" s="1"/>
  <c r="H247" i="3"/>
  <c r="G247" i="3"/>
  <c r="D247" i="3"/>
  <c r="N246" i="3"/>
  <c r="M246" i="3"/>
  <c r="L246" i="3"/>
  <c r="K246" i="3"/>
  <c r="H246" i="3"/>
  <c r="G246" i="3"/>
  <c r="D246" i="3"/>
  <c r="N245" i="3"/>
  <c r="L245" i="3"/>
  <c r="K245" i="3"/>
  <c r="M245" i="3" s="1"/>
  <c r="H245" i="3"/>
  <c r="G245" i="3"/>
  <c r="D245" i="3"/>
  <c r="N244" i="3"/>
  <c r="L244" i="3"/>
  <c r="K244" i="3"/>
  <c r="M244" i="3" s="1"/>
  <c r="H244" i="3"/>
  <c r="G244" i="3"/>
  <c r="D244" i="3"/>
  <c r="N243" i="3"/>
  <c r="L243" i="3"/>
  <c r="K243" i="3"/>
  <c r="M243" i="3" s="1"/>
  <c r="H243" i="3"/>
  <c r="G243" i="3"/>
  <c r="D243" i="3"/>
  <c r="N242" i="3"/>
  <c r="L242" i="3"/>
  <c r="K242" i="3"/>
  <c r="M242" i="3" s="1"/>
  <c r="H242" i="3"/>
  <c r="G242" i="3"/>
  <c r="D242" i="3"/>
  <c r="N241" i="3"/>
  <c r="M241" i="3"/>
  <c r="L241" i="3"/>
  <c r="K241" i="3"/>
  <c r="H241" i="3"/>
  <c r="G241" i="3"/>
  <c r="D241" i="3"/>
  <c r="N240" i="3"/>
  <c r="M240" i="3"/>
  <c r="L240" i="3"/>
  <c r="K240" i="3"/>
  <c r="H240" i="3"/>
  <c r="G240" i="3"/>
  <c r="D240" i="3"/>
  <c r="N239" i="3"/>
  <c r="L239" i="3"/>
  <c r="K239" i="3"/>
  <c r="M239" i="3" s="1"/>
  <c r="H239" i="3"/>
  <c r="G239" i="3"/>
  <c r="D239" i="3"/>
  <c r="N238" i="3"/>
  <c r="L238" i="3"/>
  <c r="K238" i="3"/>
  <c r="M238" i="3" s="1"/>
  <c r="H238" i="3"/>
  <c r="G238" i="3"/>
  <c r="D238" i="3"/>
  <c r="N237" i="3"/>
  <c r="L237" i="3"/>
  <c r="K237" i="3"/>
  <c r="M237" i="3" s="1"/>
  <c r="H237" i="3"/>
  <c r="D237" i="3"/>
  <c r="N236" i="3"/>
  <c r="L236" i="3"/>
  <c r="K236" i="3"/>
  <c r="M236" i="3" s="1"/>
  <c r="G236" i="3"/>
  <c r="D236" i="3"/>
  <c r="N235" i="3"/>
  <c r="L235" i="3"/>
  <c r="K235" i="3"/>
  <c r="M235" i="3" s="1"/>
  <c r="H235" i="3"/>
  <c r="G235" i="3"/>
  <c r="D235" i="3"/>
  <c r="N234" i="3"/>
  <c r="M234" i="3"/>
  <c r="L234" i="3"/>
  <c r="K234" i="3"/>
  <c r="H234" i="3"/>
  <c r="G234" i="3"/>
  <c r="D234" i="3"/>
  <c r="N233" i="3"/>
  <c r="M233" i="3"/>
  <c r="L233" i="3"/>
  <c r="K233" i="3"/>
  <c r="H233" i="3"/>
  <c r="G233" i="3"/>
  <c r="D233" i="3"/>
  <c r="N232" i="3"/>
  <c r="L232" i="3"/>
  <c r="K232" i="3"/>
  <c r="M232" i="3" s="1"/>
  <c r="H232" i="3"/>
  <c r="G232" i="3"/>
  <c r="D232" i="3"/>
  <c r="N231" i="3"/>
  <c r="L231" i="3"/>
  <c r="K231" i="3"/>
  <c r="M231" i="3" s="1"/>
  <c r="H231" i="3"/>
  <c r="D231" i="3"/>
  <c r="N230" i="3"/>
  <c r="M230" i="3"/>
  <c r="L230" i="3"/>
  <c r="K230" i="3"/>
  <c r="D230" i="3"/>
  <c r="N229" i="3"/>
  <c r="L229" i="3"/>
  <c r="K229" i="3"/>
  <c r="M229" i="3" s="1"/>
  <c r="G229" i="3"/>
  <c r="D229" i="3"/>
  <c r="N228" i="3"/>
  <c r="L228" i="3"/>
  <c r="K228" i="3"/>
  <c r="M228" i="3" s="1"/>
  <c r="H228" i="3"/>
  <c r="G228" i="3"/>
  <c r="D228" i="3"/>
  <c r="N227" i="3"/>
  <c r="L227" i="3"/>
  <c r="K227" i="3"/>
  <c r="M227" i="3" s="1"/>
  <c r="H227" i="3"/>
  <c r="G227" i="3"/>
  <c r="D227" i="3"/>
  <c r="N226" i="3"/>
  <c r="L226" i="3"/>
  <c r="K226" i="3"/>
  <c r="M226" i="3" s="1"/>
  <c r="H226" i="3"/>
  <c r="G226" i="3"/>
  <c r="D226" i="3"/>
  <c r="N225" i="3"/>
  <c r="M225" i="3"/>
  <c r="L225" i="3"/>
  <c r="K225" i="3"/>
  <c r="H225" i="3"/>
  <c r="G225" i="3"/>
  <c r="D225" i="3"/>
  <c r="N224" i="3"/>
  <c r="M224" i="3"/>
  <c r="L224" i="3"/>
  <c r="K224" i="3"/>
  <c r="H224" i="3"/>
  <c r="G224" i="3"/>
  <c r="D224" i="3"/>
  <c r="N223" i="3"/>
  <c r="L223" i="3"/>
  <c r="K223" i="3"/>
  <c r="M223" i="3" s="1"/>
  <c r="H223" i="3"/>
  <c r="G223" i="3"/>
  <c r="D223" i="3"/>
  <c r="N222" i="3"/>
  <c r="L222" i="3"/>
  <c r="K222" i="3"/>
  <c r="M222" i="3" s="1"/>
  <c r="D222" i="3"/>
  <c r="N221" i="3"/>
  <c r="L221" i="3"/>
  <c r="K221" i="3"/>
  <c r="M221" i="3" s="1"/>
  <c r="H221" i="3"/>
  <c r="G221" i="3"/>
  <c r="D221" i="3"/>
  <c r="N220" i="3"/>
  <c r="L220" i="3"/>
  <c r="K220" i="3"/>
  <c r="M220" i="3" s="1"/>
  <c r="H220" i="3"/>
  <c r="D220" i="3"/>
  <c r="N219" i="3"/>
  <c r="L219" i="3"/>
  <c r="K219" i="3"/>
  <c r="M219" i="3" s="1"/>
  <c r="G219" i="3"/>
  <c r="D219" i="3"/>
  <c r="N218" i="3"/>
  <c r="L218" i="3"/>
  <c r="K218" i="3"/>
  <c r="M218" i="3" s="1"/>
  <c r="H218" i="3"/>
  <c r="G218" i="3"/>
  <c r="D218" i="3"/>
  <c r="N217" i="3"/>
  <c r="L217" i="3"/>
  <c r="K217" i="3"/>
  <c r="M217" i="3" s="1"/>
  <c r="H217" i="3"/>
  <c r="G217" i="3"/>
  <c r="D217" i="3"/>
  <c r="N216" i="3"/>
  <c r="M216" i="3"/>
  <c r="L216" i="3"/>
  <c r="K216" i="3"/>
  <c r="H216" i="3"/>
  <c r="G216" i="3"/>
  <c r="D216" i="3"/>
  <c r="N215" i="3"/>
  <c r="M215" i="3"/>
  <c r="L215" i="3"/>
  <c r="K215" i="3"/>
  <c r="H215" i="3"/>
  <c r="G215" i="3"/>
  <c r="D215" i="3"/>
  <c r="N214" i="3"/>
  <c r="L214" i="3"/>
  <c r="K214" i="3"/>
  <c r="M214" i="3" s="1"/>
  <c r="H214" i="3"/>
  <c r="G214" i="3"/>
  <c r="D214" i="3"/>
  <c r="N213" i="3"/>
  <c r="L213" i="3"/>
  <c r="K213" i="3"/>
  <c r="M213" i="3" s="1"/>
  <c r="H213" i="3"/>
  <c r="G213" i="3"/>
  <c r="D213" i="3"/>
  <c r="N212" i="3"/>
  <c r="L212" i="3"/>
  <c r="K212" i="3"/>
  <c r="M212" i="3" s="1"/>
  <c r="H212" i="3"/>
  <c r="G212" i="3"/>
  <c r="D212" i="3"/>
  <c r="N211" i="3"/>
  <c r="L211" i="3"/>
  <c r="K211" i="3"/>
  <c r="M211" i="3" s="1"/>
  <c r="H211" i="3"/>
  <c r="G211" i="3"/>
  <c r="D211" i="3"/>
  <c r="N210" i="3"/>
  <c r="M210" i="3"/>
  <c r="L210" i="3"/>
  <c r="K210" i="3"/>
  <c r="H210" i="3"/>
  <c r="G210" i="3"/>
  <c r="D210" i="3"/>
  <c r="N209" i="3"/>
  <c r="L209" i="3"/>
  <c r="K209" i="3"/>
  <c r="M209" i="3" s="1"/>
  <c r="H209" i="3"/>
  <c r="G209" i="3"/>
  <c r="D209" i="3"/>
  <c r="D208" i="3"/>
  <c r="N208" i="3"/>
  <c r="L208" i="3"/>
  <c r="K208" i="3"/>
  <c r="M208" i="3" s="1"/>
  <c r="H208" i="3"/>
  <c r="G208" i="3"/>
  <c r="O20" i="1"/>
  <c r="M20" i="1"/>
  <c r="L20" i="1"/>
  <c r="N20" i="1" s="1"/>
  <c r="I20" i="1"/>
  <c r="H20" i="1"/>
  <c r="N207" i="3"/>
  <c r="L207" i="3"/>
  <c r="K207" i="3"/>
  <c r="M207" i="3" s="1"/>
  <c r="H207" i="3"/>
  <c r="D207" i="3"/>
  <c r="N206" i="3"/>
  <c r="L206" i="3"/>
  <c r="K206" i="3"/>
  <c r="M206" i="3" s="1"/>
  <c r="G206" i="3"/>
  <c r="N205" i="3"/>
  <c r="L205" i="3"/>
  <c r="K205" i="3"/>
  <c r="M205" i="3" s="1"/>
  <c r="H205" i="3"/>
  <c r="G205" i="3"/>
  <c r="N204" i="3"/>
  <c r="M204" i="3"/>
  <c r="L204" i="3"/>
  <c r="K204" i="3"/>
  <c r="H204" i="3"/>
  <c r="G204" i="3"/>
  <c r="N203" i="3"/>
  <c r="M203" i="3"/>
  <c r="L203" i="3"/>
  <c r="K203" i="3"/>
  <c r="H203" i="3"/>
  <c r="G203" i="3"/>
  <c r="N202" i="3"/>
  <c r="L202" i="3"/>
  <c r="K202" i="3"/>
  <c r="M202" i="3" s="1"/>
  <c r="H202" i="3"/>
  <c r="G202" i="3"/>
  <c r="N201" i="3"/>
  <c r="M201" i="3"/>
  <c r="L201" i="3"/>
  <c r="K201" i="3"/>
  <c r="H201" i="3"/>
  <c r="N200" i="3"/>
  <c r="L200" i="3"/>
  <c r="K200" i="3"/>
  <c r="M200" i="3" s="1"/>
  <c r="G200" i="3"/>
  <c r="N199" i="3"/>
  <c r="L199" i="3"/>
  <c r="K199" i="3"/>
  <c r="M199" i="3" s="1"/>
  <c r="H199" i="3"/>
  <c r="G199" i="3"/>
  <c r="N198" i="3"/>
  <c r="L198" i="3"/>
  <c r="K198" i="3"/>
  <c r="M198" i="3" s="1"/>
  <c r="H198" i="3"/>
  <c r="G198" i="3"/>
  <c r="N197" i="3"/>
  <c r="L197" i="3"/>
  <c r="K197" i="3"/>
  <c r="M197" i="3" s="1"/>
  <c r="H197" i="3"/>
  <c r="G197" i="3"/>
  <c r="N196" i="3"/>
  <c r="L196" i="3"/>
  <c r="K196" i="3"/>
  <c r="M196" i="3" s="1"/>
  <c r="H196" i="3"/>
  <c r="G196" i="3"/>
  <c r="D196" i="3"/>
  <c r="N195" i="3"/>
  <c r="L195" i="3"/>
  <c r="K195" i="3"/>
  <c r="M195" i="3" s="1"/>
  <c r="H195" i="3"/>
  <c r="G195" i="3"/>
  <c r="N194" i="3"/>
  <c r="L194" i="3"/>
  <c r="K194" i="3"/>
  <c r="M194" i="3" s="1"/>
  <c r="H194" i="3"/>
  <c r="G194" i="3"/>
  <c r="N193" i="3"/>
  <c r="L193" i="3"/>
  <c r="K193" i="3"/>
  <c r="M193" i="3" s="1"/>
  <c r="H193" i="3"/>
  <c r="G193" i="3"/>
  <c r="D193" i="3"/>
  <c r="N192" i="3"/>
  <c r="L192" i="3"/>
  <c r="K192" i="3"/>
  <c r="M192" i="3" s="1"/>
  <c r="H192" i="3"/>
  <c r="G192" i="3"/>
  <c r="O19" i="1"/>
  <c r="M19" i="1"/>
  <c r="L19" i="1"/>
  <c r="N19" i="1" s="1"/>
  <c r="I19" i="1"/>
  <c r="H19" i="1"/>
  <c r="D191" i="3"/>
  <c r="D189" i="3"/>
  <c r="D185" i="3"/>
  <c r="D184" i="3"/>
  <c r="D183" i="3"/>
  <c r="N191" i="3"/>
  <c r="L191" i="3"/>
  <c r="K191" i="3"/>
  <c r="M191" i="3" s="1"/>
  <c r="H191" i="3"/>
  <c r="G191" i="3"/>
  <c r="N190" i="3"/>
  <c r="L190" i="3"/>
  <c r="K190" i="3"/>
  <c r="M190" i="3" s="1"/>
  <c r="H190" i="3"/>
  <c r="G190" i="3"/>
  <c r="N189" i="3"/>
  <c r="L189" i="3"/>
  <c r="K189" i="3"/>
  <c r="M189" i="3" s="1"/>
  <c r="H189" i="3"/>
  <c r="G189" i="3"/>
  <c r="N188" i="3"/>
  <c r="M188" i="3"/>
  <c r="L188" i="3"/>
  <c r="K188" i="3"/>
  <c r="H188" i="3"/>
  <c r="G188" i="3"/>
  <c r="N187" i="3"/>
  <c r="L187" i="3"/>
  <c r="K187" i="3"/>
  <c r="M187" i="3" s="1"/>
  <c r="H187" i="3"/>
  <c r="G187" i="3"/>
  <c r="N186" i="3"/>
  <c r="L186" i="3"/>
  <c r="K186" i="3"/>
  <c r="M186" i="3" s="1"/>
  <c r="H186" i="3"/>
  <c r="G186" i="3"/>
  <c r="N185" i="3"/>
  <c r="L185" i="3"/>
  <c r="K185" i="3"/>
  <c r="M185" i="3" s="1"/>
  <c r="H185" i="3"/>
  <c r="G185" i="3"/>
  <c r="N184" i="3"/>
  <c r="M184" i="3"/>
  <c r="L184" i="3"/>
  <c r="K184" i="3"/>
  <c r="H184" i="3"/>
  <c r="G184" i="3"/>
  <c r="N183" i="3"/>
  <c r="L183" i="3"/>
  <c r="K183" i="3"/>
  <c r="M183" i="3" s="1"/>
  <c r="H183" i="3"/>
  <c r="G183" i="3"/>
  <c r="N182" i="3"/>
  <c r="L182" i="3"/>
  <c r="K182" i="3"/>
  <c r="M182" i="3" s="1"/>
  <c r="H182" i="3"/>
  <c r="G182" i="3"/>
  <c r="O18" i="1"/>
  <c r="M18" i="1"/>
  <c r="L18" i="1"/>
  <c r="N18" i="1" s="1"/>
  <c r="I18" i="1"/>
  <c r="H18" i="1"/>
  <c r="N181" i="3"/>
  <c r="L181" i="3"/>
  <c r="K181" i="3"/>
  <c r="M181" i="3" s="1"/>
  <c r="H181" i="3"/>
  <c r="G181" i="3"/>
  <c r="N180" i="3"/>
  <c r="L180" i="3"/>
  <c r="K180" i="3"/>
  <c r="M180" i="3" s="1"/>
  <c r="H180" i="3"/>
  <c r="G180" i="3"/>
  <c r="N179" i="3"/>
  <c r="L179" i="3"/>
  <c r="K179" i="3"/>
  <c r="M179" i="3" s="1"/>
  <c r="H179" i="3"/>
  <c r="G179" i="3"/>
  <c r="N178" i="3"/>
  <c r="M178" i="3"/>
  <c r="L178" i="3"/>
  <c r="K178" i="3"/>
  <c r="H178" i="3"/>
  <c r="N177" i="3"/>
  <c r="M177" i="3"/>
  <c r="L177" i="3"/>
  <c r="K177" i="3"/>
  <c r="G177" i="3"/>
  <c r="N176" i="3"/>
  <c r="L176" i="3"/>
  <c r="K176" i="3"/>
  <c r="M176" i="3" s="1"/>
  <c r="H176" i="3"/>
  <c r="G176" i="3"/>
  <c r="N175" i="3"/>
  <c r="L175" i="3"/>
  <c r="K175" i="3"/>
  <c r="M175" i="3" s="1"/>
  <c r="H175" i="3"/>
  <c r="G175" i="3"/>
  <c r="N174" i="3"/>
  <c r="M174" i="3"/>
  <c r="L174" i="3"/>
  <c r="K174" i="3"/>
  <c r="H174" i="3"/>
  <c r="G174" i="3"/>
  <c r="N173" i="3"/>
  <c r="L173" i="3"/>
  <c r="K173" i="3"/>
  <c r="M173" i="3" s="1"/>
  <c r="H173" i="3"/>
  <c r="G173" i="3"/>
  <c r="N172" i="3"/>
  <c r="L172" i="3"/>
  <c r="K172" i="3"/>
  <c r="M172" i="3" s="1"/>
  <c r="H172" i="3"/>
  <c r="G172" i="3"/>
  <c r="N171" i="3"/>
  <c r="L171" i="3"/>
  <c r="K171" i="3"/>
  <c r="M171" i="3" s="1"/>
  <c r="H171" i="3"/>
  <c r="G171" i="3"/>
  <c r="N170" i="3"/>
  <c r="L170" i="3"/>
  <c r="K170" i="3"/>
  <c r="M170" i="3" s="1"/>
  <c r="H170" i="3"/>
  <c r="G170" i="3"/>
  <c r="D170" i="3"/>
  <c r="N169" i="3"/>
  <c r="M169" i="3"/>
  <c r="L169" i="3"/>
  <c r="K169" i="3"/>
  <c r="H169" i="3"/>
  <c r="G169" i="3"/>
  <c r="N168" i="3"/>
  <c r="L168" i="3"/>
  <c r="K168" i="3"/>
  <c r="M168" i="3" s="1"/>
  <c r="H168" i="3"/>
  <c r="G168" i="3"/>
  <c r="N167" i="3"/>
  <c r="M167" i="3"/>
  <c r="L167" i="3"/>
  <c r="K167" i="3"/>
  <c r="H167" i="3"/>
  <c r="G167" i="3"/>
  <c r="N166" i="3"/>
  <c r="L166" i="3"/>
  <c r="K166" i="3"/>
  <c r="M166" i="3" s="1"/>
  <c r="H166" i="3"/>
  <c r="G166" i="3"/>
  <c r="N165" i="3"/>
  <c r="L165" i="3"/>
  <c r="K165" i="3"/>
  <c r="M165" i="3" s="1"/>
  <c r="H165" i="3"/>
  <c r="G165" i="3"/>
  <c r="N164" i="3"/>
  <c r="L164" i="3"/>
  <c r="K164" i="3"/>
  <c r="M164" i="3" s="1"/>
  <c r="H164" i="3"/>
  <c r="G164" i="3"/>
  <c r="N163" i="3"/>
  <c r="L163" i="3"/>
  <c r="K163" i="3"/>
  <c r="M163" i="3" s="1"/>
  <c r="H163" i="3"/>
  <c r="G163" i="3"/>
  <c r="N162" i="3"/>
  <c r="L162" i="3"/>
  <c r="K162" i="3"/>
  <c r="M162" i="3" s="1"/>
  <c r="H162" i="3"/>
  <c r="G162" i="3"/>
  <c r="N161" i="3"/>
  <c r="M161" i="3"/>
  <c r="L161" i="3"/>
  <c r="K161" i="3"/>
  <c r="H161" i="3"/>
  <c r="G161" i="3"/>
  <c r="N160" i="3"/>
  <c r="L160" i="3"/>
  <c r="K160" i="3"/>
  <c r="M160" i="3" s="1"/>
  <c r="H160" i="3"/>
  <c r="G160" i="3"/>
  <c r="N159" i="3"/>
  <c r="M159" i="3"/>
  <c r="L159" i="3"/>
  <c r="K159" i="3"/>
  <c r="H159" i="3"/>
  <c r="N158" i="3"/>
  <c r="M158" i="3"/>
  <c r="L158" i="3"/>
  <c r="K158" i="3"/>
  <c r="G158" i="3"/>
  <c r="N157" i="3"/>
  <c r="L157" i="3"/>
  <c r="K157" i="3"/>
  <c r="M157" i="3" s="1"/>
  <c r="H157" i="3"/>
  <c r="G157" i="3"/>
  <c r="N156" i="3"/>
  <c r="L156" i="3"/>
  <c r="K156" i="3"/>
  <c r="M156" i="3" s="1"/>
  <c r="H156" i="3"/>
  <c r="G156" i="3"/>
  <c r="N155" i="3"/>
  <c r="L155" i="3"/>
  <c r="K155" i="3"/>
  <c r="M155" i="3" s="1"/>
  <c r="H155" i="3"/>
  <c r="G155" i="3"/>
  <c r="N154" i="3"/>
  <c r="M154" i="3"/>
  <c r="L154" i="3"/>
  <c r="K154" i="3"/>
  <c r="H154" i="3"/>
  <c r="G154" i="3"/>
  <c r="N153" i="3"/>
  <c r="L153" i="3"/>
  <c r="K153" i="3"/>
  <c r="M153" i="3" s="1"/>
  <c r="H153" i="3"/>
  <c r="G153" i="3"/>
  <c r="N152" i="3"/>
  <c r="L152" i="3"/>
  <c r="K152" i="3"/>
  <c r="M152" i="3" s="1"/>
  <c r="H152" i="3"/>
  <c r="G152" i="3"/>
  <c r="N151" i="3"/>
  <c r="L151" i="3"/>
  <c r="K151" i="3"/>
  <c r="M151" i="3" s="1"/>
  <c r="H151" i="3"/>
  <c r="G151" i="3"/>
  <c r="N150" i="3"/>
  <c r="M150" i="3"/>
  <c r="L150" i="3"/>
  <c r="K150" i="3"/>
  <c r="H150" i="3"/>
  <c r="G150" i="3"/>
  <c r="N149" i="3"/>
  <c r="L149" i="3"/>
  <c r="K149" i="3"/>
  <c r="M149" i="3" s="1"/>
  <c r="H149" i="3"/>
  <c r="G149" i="3"/>
  <c r="D149" i="3"/>
  <c r="N148" i="3"/>
  <c r="L148" i="3"/>
  <c r="K148" i="3"/>
  <c r="M148" i="3" s="1"/>
  <c r="H148" i="3"/>
  <c r="G148" i="3"/>
  <c r="E17" i="1"/>
  <c r="O17" i="1"/>
  <c r="M17" i="1"/>
  <c r="L17" i="1"/>
  <c r="N17" i="1" s="1"/>
  <c r="I17" i="1"/>
  <c r="H17" i="1"/>
  <c r="N147" i="3"/>
  <c r="L147" i="3"/>
  <c r="K147" i="3"/>
  <c r="M147" i="3" s="1"/>
  <c r="H147" i="3"/>
  <c r="G147" i="3"/>
  <c r="N146" i="3"/>
  <c r="L146" i="3"/>
  <c r="K146" i="3"/>
  <c r="M146" i="3" s="1"/>
  <c r="H146" i="3"/>
  <c r="G146" i="3"/>
  <c r="N145" i="3"/>
  <c r="L145" i="3"/>
  <c r="K145" i="3"/>
  <c r="M145" i="3" s="1"/>
  <c r="H145" i="3"/>
  <c r="G145" i="3"/>
  <c r="N144" i="3"/>
  <c r="L144" i="3"/>
  <c r="K144" i="3"/>
  <c r="M144" i="3" s="1"/>
  <c r="H144" i="3"/>
  <c r="G144" i="3"/>
  <c r="N143" i="3"/>
  <c r="M143" i="3"/>
  <c r="L143" i="3"/>
  <c r="K143" i="3"/>
  <c r="H143" i="3"/>
  <c r="G143" i="3"/>
  <c r="N142" i="3"/>
  <c r="L142" i="3"/>
  <c r="K142" i="3"/>
  <c r="M142" i="3" s="1"/>
  <c r="H142" i="3"/>
  <c r="G142" i="3"/>
  <c r="N141" i="3"/>
  <c r="L141" i="3"/>
  <c r="K141" i="3"/>
  <c r="M141" i="3" s="1"/>
  <c r="H141" i="3"/>
  <c r="G141" i="3"/>
  <c r="E16" i="1"/>
  <c r="O16" i="1"/>
  <c r="M16" i="1"/>
  <c r="L16" i="1"/>
  <c r="N16" i="1" s="1"/>
  <c r="I16" i="1"/>
  <c r="H16" i="1"/>
  <c r="N140" i="3"/>
  <c r="L140" i="3"/>
  <c r="K140" i="3"/>
  <c r="M140" i="3" s="1"/>
  <c r="H140" i="3"/>
  <c r="G140" i="3"/>
  <c r="N139" i="3"/>
  <c r="L139" i="3"/>
  <c r="K139" i="3"/>
  <c r="M139" i="3" s="1"/>
  <c r="H139" i="3"/>
  <c r="G139" i="3"/>
  <c r="N138" i="3"/>
  <c r="L138" i="3"/>
  <c r="K138" i="3"/>
  <c r="M138" i="3" s="1"/>
  <c r="H138" i="3"/>
  <c r="G138" i="3"/>
  <c r="O15" i="1"/>
  <c r="M15" i="1"/>
  <c r="L15" i="1"/>
  <c r="N15" i="1" s="1"/>
  <c r="I15" i="1"/>
  <c r="H15" i="1"/>
  <c r="O14" i="1"/>
  <c r="M14" i="1"/>
  <c r="L14" i="1"/>
  <c r="N14" i="1" s="1"/>
  <c r="I14" i="1"/>
  <c r="H14" i="1"/>
  <c r="N137" i="3"/>
  <c r="L137" i="3"/>
  <c r="K137" i="3"/>
  <c r="M137" i="3" s="1"/>
  <c r="H137" i="3"/>
  <c r="N136" i="3"/>
  <c r="L136" i="3"/>
  <c r="K136" i="3"/>
  <c r="M136" i="3" s="1"/>
  <c r="N135" i="3"/>
  <c r="L135" i="3"/>
  <c r="K135" i="3"/>
  <c r="M135" i="3" s="1"/>
  <c r="G135" i="3"/>
  <c r="N134" i="3"/>
  <c r="L134" i="3"/>
  <c r="K134" i="3"/>
  <c r="M134" i="3" s="1"/>
  <c r="H134" i="3"/>
  <c r="N133" i="3"/>
  <c r="M133" i="3"/>
  <c r="L133" i="3"/>
  <c r="K133" i="3"/>
  <c r="G133" i="3"/>
  <c r="N132" i="3"/>
  <c r="L132" i="3"/>
  <c r="K132" i="3"/>
  <c r="M132" i="3" s="1"/>
  <c r="H132" i="3"/>
  <c r="G132" i="3"/>
  <c r="N131" i="3"/>
  <c r="L131" i="3"/>
  <c r="K131" i="3"/>
  <c r="M131" i="3" s="1"/>
  <c r="H131" i="3"/>
  <c r="G131" i="3"/>
  <c r="N130" i="3"/>
  <c r="M130" i="3"/>
  <c r="L130" i="3"/>
  <c r="K130" i="3"/>
  <c r="H130" i="3"/>
  <c r="G130" i="3"/>
  <c r="N129" i="3"/>
  <c r="L129" i="3"/>
  <c r="K129" i="3"/>
  <c r="M129" i="3" s="1"/>
  <c r="H129" i="3"/>
  <c r="G129" i="3"/>
  <c r="N128" i="3"/>
  <c r="L128" i="3"/>
  <c r="K128" i="3"/>
  <c r="M128" i="3" s="1"/>
  <c r="H128" i="3"/>
  <c r="G128" i="3"/>
  <c r="N127" i="3"/>
  <c r="L127" i="3"/>
  <c r="K127" i="3"/>
  <c r="M127" i="3" s="1"/>
  <c r="H127" i="3"/>
  <c r="N126" i="3"/>
  <c r="M126" i="3"/>
  <c r="L126" i="3"/>
  <c r="K126" i="3"/>
  <c r="G126" i="3"/>
  <c r="N125" i="3"/>
  <c r="M125" i="3"/>
  <c r="L125" i="3"/>
  <c r="K125" i="3"/>
  <c r="H125" i="3"/>
  <c r="N124" i="3"/>
  <c r="L124" i="3"/>
  <c r="K124" i="3"/>
  <c r="M124" i="3" s="1"/>
  <c r="N123" i="3"/>
  <c r="M123" i="3"/>
  <c r="L123" i="3"/>
  <c r="K123" i="3"/>
  <c r="G123" i="3"/>
  <c r="N122" i="3"/>
  <c r="L122" i="3"/>
  <c r="K122" i="3"/>
  <c r="M122" i="3" s="1"/>
  <c r="H122" i="3"/>
  <c r="G122" i="3"/>
  <c r="N121" i="3"/>
  <c r="L121" i="3"/>
  <c r="K121" i="3"/>
  <c r="M121" i="3" s="1"/>
  <c r="H121" i="3"/>
  <c r="G121" i="3"/>
  <c r="N120" i="3"/>
  <c r="L120" i="3"/>
  <c r="K120" i="3"/>
  <c r="M120" i="3" s="1"/>
  <c r="H120" i="3"/>
  <c r="G120" i="3"/>
  <c r="N119" i="3"/>
  <c r="L119" i="3"/>
  <c r="K119" i="3"/>
  <c r="M119" i="3" s="1"/>
  <c r="H119" i="3"/>
  <c r="G119" i="3"/>
  <c r="N118" i="3"/>
  <c r="L118" i="3"/>
  <c r="K118" i="3"/>
  <c r="M118" i="3" s="1"/>
  <c r="H118" i="3"/>
  <c r="G118" i="3"/>
  <c r="O13" i="1"/>
  <c r="M13" i="1"/>
  <c r="L13" i="1"/>
  <c r="N13" i="1" s="1"/>
  <c r="I13" i="1"/>
  <c r="H13" i="1"/>
  <c r="N110" i="3"/>
  <c r="L110" i="3"/>
  <c r="K110" i="3"/>
  <c r="M110" i="3" s="1"/>
  <c r="H110" i="3"/>
  <c r="G110" i="3"/>
  <c r="N117" i="3"/>
  <c r="L117" i="3"/>
  <c r="K117" i="3"/>
  <c r="M117" i="3" s="1"/>
  <c r="H117" i="3"/>
  <c r="G117" i="3"/>
  <c r="N116" i="3"/>
  <c r="L116" i="3"/>
  <c r="K116" i="3"/>
  <c r="M116" i="3" s="1"/>
  <c r="H116" i="3"/>
  <c r="G116" i="3"/>
  <c r="N115" i="3"/>
  <c r="L115" i="3"/>
  <c r="K115" i="3"/>
  <c r="M115" i="3" s="1"/>
  <c r="H115" i="3"/>
  <c r="N114" i="3"/>
  <c r="L114" i="3"/>
  <c r="K114" i="3"/>
  <c r="M114" i="3" s="1"/>
  <c r="G114" i="3"/>
  <c r="N113" i="3"/>
  <c r="L113" i="3"/>
  <c r="K113" i="3"/>
  <c r="M113" i="3" s="1"/>
  <c r="H113" i="3"/>
  <c r="G113" i="3"/>
  <c r="N112" i="3"/>
  <c r="L112" i="3"/>
  <c r="K112" i="3"/>
  <c r="M112" i="3" s="1"/>
  <c r="H112" i="3"/>
  <c r="G112" i="3"/>
  <c r="N111" i="3"/>
  <c r="L111" i="3"/>
  <c r="K111" i="3"/>
  <c r="M111" i="3" s="1"/>
  <c r="H111" i="3"/>
  <c r="G111" i="3"/>
  <c r="N109" i="3"/>
  <c r="L109" i="3"/>
  <c r="K109" i="3"/>
  <c r="M109" i="3" s="1"/>
  <c r="H109" i="3"/>
  <c r="G109" i="3"/>
  <c r="N108" i="3"/>
  <c r="L108" i="3"/>
  <c r="K108" i="3"/>
  <c r="M108" i="3" s="1"/>
  <c r="H108" i="3"/>
  <c r="G108" i="3"/>
  <c r="N107" i="3"/>
  <c r="L107" i="3"/>
  <c r="K107" i="3"/>
  <c r="M107" i="3" s="1"/>
  <c r="H107" i="3"/>
  <c r="G107" i="3"/>
  <c r="N106" i="3"/>
  <c r="L106" i="3"/>
  <c r="K106" i="3"/>
  <c r="M106" i="3" s="1"/>
  <c r="H106" i="3"/>
  <c r="N105" i="3"/>
  <c r="L105" i="3"/>
  <c r="K105" i="3"/>
  <c r="M105" i="3" s="1"/>
  <c r="G105" i="3"/>
  <c r="N104" i="3"/>
  <c r="L104" i="3"/>
  <c r="K104" i="3"/>
  <c r="M104" i="3" s="1"/>
  <c r="H104" i="3"/>
  <c r="G104" i="3"/>
  <c r="O12" i="1"/>
  <c r="M12" i="1"/>
  <c r="L12" i="1"/>
  <c r="N12" i="1" s="1"/>
  <c r="I12" i="1"/>
  <c r="H12" i="1"/>
  <c r="N103" i="3"/>
  <c r="L103" i="3"/>
  <c r="K103" i="3"/>
  <c r="M103" i="3" s="1"/>
  <c r="H103" i="3"/>
  <c r="G103" i="3"/>
  <c r="N102" i="3"/>
  <c r="L102" i="3"/>
  <c r="K102" i="3"/>
  <c r="M102" i="3" s="1"/>
  <c r="H102" i="3"/>
  <c r="G102" i="3"/>
  <c r="N101" i="3"/>
  <c r="L101" i="3"/>
  <c r="K101" i="3"/>
  <c r="M101" i="3" s="1"/>
  <c r="H101" i="3"/>
  <c r="G101" i="3"/>
  <c r="N100" i="3"/>
  <c r="L100" i="3"/>
  <c r="K100" i="3"/>
  <c r="M100" i="3" s="1"/>
  <c r="H100" i="3"/>
  <c r="N99" i="3"/>
  <c r="L99" i="3"/>
  <c r="K99" i="3"/>
  <c r="M99" i="3" s="1"/>
  <c r="N98" i="3"/>
  <c r="L98" i="3"/>
  <c r="K98" i="3"/>
  <c r="M98" i="3" s="1"/>
  <c r="N97" i="3"/>
  <c r="L97" i="3"/>
  <c r="K97" i="3"/>
  <c r="M97" i="3" s="1"/>
  <c r="N96" i="3"/>
  <c r="L96" i="3"/>
  <c r="K96" i="3"/>
  <c r="M96" i="3" s="1"/>
  <c r="G96" i="3"/>
  <c r="N95" i="3"/>
  <c r="L95" i="3"/>
  <c r="K95" i="3"/>
  <c r="M95" i="3" s="1"/>
  <c r="H95" i="3"/>
  <c r="N94" i="3"/>
  <c r="L94" i="3"/>
  <c r="K94" i="3"/>
  <c r="M94" i="3" s="1"/>
  <c r="N93" i="3"/>
  <c r="L93" i="3"/>
  <c r="K93" i="3"/>
  <c r="M93" i="3" s="1"/>
  <c r="G93" i="3"/>
  <c r="N92" i="3"/>
  <c r="L92" i="3"/>
  <c r="K92" i="3"/>
  <c r="M92" i="3" s="1"/>
  <c r="H92" i="3"/>
  <c r="G92" i="3"/>
  <c r="N91" i="3"/>
  <c r="L91" i="3"/>
  <c r="K91" i="3"/>
  <c r="M91" i="3" s="1"/>
  <c r="H91" i="3"/>
  <c r="G91" i="3"/>
  <c r="N90" i="3"/>
  <c r="L90" i="3"/>
  <c r="K90" i="3"/>
  <c r="M90" i="3" s="1"/>
  <c r="H90" i="3"/>
  <c r="G90" i="3"/>
  <c r="O11" i="1"/>
  <c r="M11" i="1"/>
  <c r="L11" i="1"/>
  <c r="N11" i="1" s="1"/>
  <c r="I11" i="1"/>
  <c r="H11" i="1"/>
  <c r="N89" i="3"/>
  <c r="L89" i="3"/>
  <c r="K89" i="3"/>
  <c r="M89" i="3" s="1"/>
  <c r="H89" i="3"/>
  <c r="N88" i="3"/>
  <c r="L88" i="3"/>
  <c r="K88" i="3"/>
  <c r="M88" i="3" s="1"/>
  <c r="G88" i="3"/>
  <c r="N87" i="3"/>
  <c r="L87" i="3"/>
  <c r="K87" i="3"/>
  <c r="M87" i="3" s="1"/>
  <c r="H87" i="3"/>
  <c r="G87" i="3"/>
  <c r="N86" i="3"/>
  <c r="L86" i="3"/>
  <c r="K86" i="3"/>
  <c r="M86" i="3" s="1"/>
  <c r="H86" i="3"/>
  <c r="G86" i="3"/>
  <c r="N85" i="3"/>
  <c r="L85" i="3"/>
  <c r="K85" i="3"/>
  <c r="M85" i="3" s="1"/>
  <c r="H85" i="3"/>
  <c r="G85" i="3"/>
  <c r="N84" i="3"/>
  <c r="L84" i="3"/>
  <c r="K84" i="3"/>
  <c r="M84" i="3" s="1"/>
  <c r="H84" i="3"/>
  <c r="G84" i="3"/>
  <c r="N83" i="3"/>
  <c r="L83" i="3"/>
  <c r="K83" i="3"/>
  <c r="M83" i="3" s="1"/>
  <c r="H83" i="3"/>
  <c r="G83" i="3"/>
  <c r="N82" i="3"/>
  <c r="L82" i="3"/>
  <c r="K82" i="3"/>
  <c r="M82" i="3" s="1"/>
  <c r="H82" i="3"/>
  <c r="G82" i="3"/>
  <c r="N81" i="3"/>
  <c r="L81" i="3"/>
  <c r="K81" i="3"/>
  <c r="M81" i="3" s="1"/>
  <c r="H81" i="3"/>
  <c r="G81" i="3"/>
  <c r="N80" i="3"/>
  <c r="L80" i="3"/>
  <c r="K80" i="3"/>
  <c r="M80" i="3" s="1"/>
  <c r="H80" i="3"/>
  <c r="N79" i="3"/>
  <c r="L79" i="3"/>
  <c r="K79" i="3"/>
  <c r="M79" i="3" s="1"/>
  <c r="G79" i="3"/>
  <c r="N78" i="3"/>
  <c r="L78" i="3"/>
  <c r="K78" i="3"/>
  <c r="M78" i="3" s="1"/>
  <c r="H78" i="3"/>
  <c r="N77" i="3"/>
  <c r="L77" i="3"/>
  <c r="K77" i="3"/>
  <c r="M77" i="3" s="1"/>
  <c r="G77" i="3"/>
  <c r="N76" i="3"/>
  <c r="L76" i="3"/>
  <c r="K76" i="3"/>
  <c r="M76" i="3" s="1"/>
  <c r="H76" i="3"/>
  <c r="G76" i="3"/>
  <c r="G72" i="3"/>
  <c r="G74" i="3"/>
  <c r="G71" i="3"/>
  <c r="G69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N75" i="3"/>
  <c r="L75" i="3"/>
  <c r="K75" i="3"/>
  <c r="M75" i="3" s="1"/>
  <c r="H75" i="3"/>
  <c r="N74" i="3"/>
  <c r="L74" i="3"/>
  <c r="K74" i="3"/>
  <c r="M74" i="3" s="1"/>
  <c r="N73" i="3"/>
  <c r="L73" i="3"/>
  <c r="K73" i="3"/>
  <c r="M73" i="3" s="1"/>
  <c r="H73" i="3"/>
  <c r="N72" i="3"/>
  <c r="L72" i="3"/>
  <c r="K72" i="3"/>
  <c r="M72" i="3" s="1"/>
  <c r="N71" i="3"/>
  <c r="L71" i="3"/>
  <c r="K71" i="3"/>
  <c r="M71" i="3" s="1"/>
  <c r="H71" i="3"/>
  <c r="N70" i="3"/>
  <c r="L70" i="3"/>
  <c r="K70" i="3"/>
  <c r="M70" i="3" s="1"/>
  <c r="H70" i="3"/>
  <c r="N69" i="3"/>
  <c r="L69" i="3"/>
  <c r="K69" i="3"/>
  <c r="M69" i="3" s="1"/>
  <c r="N68" i="3"/>
  <c r="L68" i="3"/>
  <c r="K68" i="3"/>
  <c r="M68" i="3" s="1"/>
  <c r="H68" i="3"/>
  <c r="N67" i="3"/>
  <c r="L67" i="3"/>
  <c r="K67" i="3"/>
  <c r="M67" i="3" s="1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N2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L2" i="3"/>
  <c r="O10" i="1"/>
  <c r="O9" i="1"/>
  <c r="O8" i="1"/>
  <c r="O7" i="1"/>
  <c r="O6" i="1"/>
  <c r="O5" i="1"/>
  <c r="O4" i="1"/>
  <c r="O3" i="1"/>
  <c r="O2" i="1"/>
  <c r="M10" i="1"/>
  <c r="M9" i="1"/>
  <c r="M8" i="1"/>
  <c r="M7" i="1"/>
  <c r="M6" i="1"/>
  <c r="M5" i="1"/>
  <c r="M4" i="1"/>
  <c r="M3" i="1"/>
  <c r="M2" i="1"/>
  <c r="L10" i="1"/>
  <c r="N10" i="1" s="1"/>
  <c r="I10" i="1"/>
  <c r="H10" i="1"/>
  <c r="K66" i="3"/>
  <c r="M66" i="3" s="1"/>
  <c r="H66" i="3"/>
  <c r="K65" i="3"/>
  <c r="M65" i="3" s="1"/>
  <c r="H65" i="3"/>
  <c r="K64" i="3"/>
  <c r="M64" i="3" s="1"/>
  <c r="H64" i="3"/>
  <c r="K63" i="3"/>
  <c r="M63" i="3" s="1"/>
  <c r="H63" i="3"/>
  <c r="K62" i="3"/>
  <c r="M62" i="3" s="1"/>
  <c r="H62" i="3"/>
  <c r="K61" i="3"/>
  <c r="M61" i="3" s="1"/>
  <c r="H61" i="3"/>
  <c r="K60" i="3"/>
  <c r="M60" i="3" s="1"/>
  <c r="H60" i="3"/>
  <c r="L9" i="1"/>
  <c r="N9" i="1" s="1"/>
  <c r="I9" i="1"/>
  <c r="H9" i="1"/>
  <c r="L8" i="1"/>
  <c r="N8" i="1" s="1"/>
  <c r="I8" i="1"/>
  <c r="H8" i="1"/>
  <c r="K59" i="3"/>
  <c r="M59" i="3" s="1"/>
  <c r="H59" i="3"/>
  <c r="K58" i="3"/>
  <c r="M58" i="3" s="1"/>
  <c r="H58" i="3"/>
  <c r="K57" i="3"/>
  <c r="M57" i="3" s="1"/>
  <c r="H57" i="3"/>
  <c r="K56" i="3"/>
  <c r="M56" i="3" s="1"/>
  <c r="H56" i="3"/>
  <c r="K55" i="3"/>
  <c r="M55" i="3" s="1"/>
  <c r="H55" i="3"/>
  <c r="K54" i="3"/>
  <c r="M54" i="3" s="1"/>
  <c r="H54" i="3"/>
  <c r="K53" i="3"/>
  <c r="M53" i="3" s="1"/>
  <c r="H53" i="3"/>
  <c r="K52" i="3"/>
  <c r="M52" i="3" s="1"/>
  <c r="H52" i="3"/>
  <c r="K51" i="3"/>
  <c r="M51" i="3" s="1"/>
  <c r="H51" i="3"/>
  <c r="K50" i="3"/>
  <c r="M50" i="3" s="1"/>
  <c r="H50" i="3"/>
  <c r="K49" i="3"/>
  <c r="M49" i="3" s="1"/>
  <c r="H49" i="3"/>
  <c r="K48" i="3"/>
  <c r="M48" i="3" s="1"/>
  <c r="H48" i="3"/>
  <c r="K47" i="3"/>
  <c r="M47" i="3" s="1"/>
  <c r="H47" i="3"/>
  <c r="K46" i="3"/>
  <c r="M46" i="3" s="1"/>
  <c r="H46" i="3"/>
  <c r="L7" i="1"/>
  <c r="N7" i="1" s="1"/>
  <c r="I7" i="1"/>
  <c r="H7" i="1"/>
  <c r="K45" i="3"/>
  <c r="M45" i="3" s="1"/>
  <c r="H45" i="3"/>
  <c r="K44" i="3"/>
  <c r="M44" i="3" s="1"/>
  <c r="G44" i="3"/>
  <c r="K43" i="3"/>
  <c r="M43" i="3" s="1"/>
  <c r="H43" i="3"/>
  <c r="G43" i="3"/>
  <c r="K42" i="3"/>
  <c r="M42" i="3" s="1"/>
  <c r="H42" i="3"/>
  <c r="G42" i="3"/>
  <c r="K41" i="3"/>
  <c r="M41" i="3" s="1"/>
  <c r="H41" i="3"/>
  <c r="G41" i="3"/>
  <c r="K40" i="3"/>
  <c r="M40" i="3" s="1"/>
  <c r="H40" i="3"/>
  <c r="G40" i="3"/>
  <c r="K39" i="3"/>
  <c r="M39" i="3" s="1"/>
  <c r="H39" i="3"/>
  <c r="G39" i="3"/>
  <c r="K38" i="3"/>
  <c r="M38" i="3" s="1"/>
  <c r="H38" i="3"/>
  <c r="K37" i="3"/>
  <c r="M37" i="3" s="1"/>
  <c r="G37" i="3"/>
  <c r="K36" i="3"/>
  <c r="M36" i="3" s="1"/>
  <c r="H36" i="3"/>
  <c r="K35" i="3"/>
  <c r="M35" i="3" s="1"/>
  <c r="G35" i="3"/>
  <c r="K34" i="3"/>
  <c r="M34" i="3" s="1"/>
  <c r="H34" i="3"/>
  <c r="G34" i="3"/>
  <c r="K33" i="3"/>
  <c r="M33" i="3" s="1"/>
  <c r="H33" i="3"/>
  <c r="K32" i="3"/>
  <c r="M32" i="3" s="1"/>
  <c r="G32" i="3"/>
  <c r="K31" i="3"/>
  <c r="M31" i="3" s="1"/>
  <c r="H31" i="3"/>
  <c r="K30" i="3"/>
  <c r="M30" i="3" s="1"/>
  <c r="K29" i="3"/>
  <c r="M29" i="3" s="1"/>
  <c r="K28" i="3"/>
  <c r="M28" i="3" s="1"/>
  <c r="G28" i="3"/>
  <c r="K27" i="3"/>
  <c r="M27" i="3" s="1"/>
  <c r="H27" i="3"/>
  <c r="G27" i="3"/>
  <c r="K26" i="3"/>
  <c r="M26" i="3" s="1"/>
  <c r="H26" i="3"/>
  <c r="G26" i="3"/>
  <c r="L6" i="1"/>
  <c r="N6" i="1" s="1"/>
  <c r="I6" i="1"/>
  <c r="H6" i="1"/>
  <c r="K25" i="3"/>
  <c r="M25" i="3" s="1"/>
  <c r="H25" i="3"/>
  <c r="G25" i="3"/>
  <c r="K24" i="3"/>
  <c r="M24" i="3" s="1"/>
  <c r="H24" i="3"/>
  <c r="G24" i="3"/>
  <c r="K23" i="3"/>
  <c r="M23" i="3" s="1"/>
  <c r="H23" i="3"/>
  <c r="G23" i="3"/>
  <c r="K22" i="3"/>
  <c r="M22" i="3" s="1"/>
  <c r="H22" i="3"/>
  <c r="G22" i="3"/>
  <c r="K21" i="3"/>
  <c r="M21" i="3" s="1"/>
  <c r="H21" i="3"/>
  <c r="G21" i="3"/>
  <c r="K20" i="3"/>
  <c r="M20" i="3" s="1"/>
  <c r="H20" i="3"/>
  <c r="G20" i="3"/>
  <c r="K19" i="3"/>
  <c r="M19" i="3" s="1"/>
  <c r="H19" i="3"/>
  <c r="G19" i="3"/>
  <c r="K18" i="3"/>
  <c r="M18" i="3" s="1"/>
  <c r="H18" i="3"/>
  <c r="G18" i="3"/>
  <c r="K17" i="3"/>
  <c r="M17" i="3" s="1"/>
  <c r="H17" i="3"/>
  <c r="G17" i="3"/>
  <c r="K16" i="3"/>
  <c r="M16" i="3" s="1"/>
  <c r="H16" i="3"/>
  <c r="G16" i="3"/>
  <c r="K15" i="3"/>
  <c r="M15" i="3" s="1"/>
  <c r="H15" i="3"/>
  <c r="G15" i="3"/>
  <c r="L5" i="1"/>
  <c r="N5" i="1" s="1"/>
  <c r="I5" i="1"/>
  <c r="H5" i="1"/>
  <c r="K14" i="3"/>
  <c r="M14" i="3" s="1"/>
  <c r="H14" i="3"/>
  <c r="G14" i="3"/>
  <c r="K13" i="3"/>
  <c r="M13" i="3" s="1"/>
  <c r="H13" i="3"/>
  <c r="G13" i="3"/>
  <c r="K12" i="3"/>
  <c r="M12" i="3" s="1"/>
  <c r="H12" i="3"/>
  <c r="G12" i="3"/>
  <c r="K11" i="3"/>
  <c r="M11" i="3" s="1"/>
  <c r="H11" i="3"/>
  <c r="K10" i="3"/>
  <c r="M10" i="3" s="1"/>
  <c r="G10" i="3"/>
  <c r="K9" i="3"/>
  <c r="M9" i="3" s="1"/>
  <c r="H9" i="3"/>
  <c r="G9" i="3"/>
  <c r="K8" i="3"/>
  <c r="M8" i="3" s="1"/>
  <c r="H8" i="3"/>
  <c r="G8" i="3"/>
  <c r="K7" i="3"/>
  <c r="M7" i="3" s="1"/>
  <c r="H7" i="3"/>
  <c r="G7" i="3"/>
  <c r="K6" i="3"/>
  <c r="M6" i="3" s="1"/>
  <c r="H6" i="3"/>
  <c r="G6" i="3"/>
  <c r="K5" i="3"/>
  <c r="M5" i="3" s="1"/>
  <c r="H5" i="3"/>
  <c r="G5" i="3"/>
  <c r="K4" i="3"/>
  <c r="M4" i="3" s="1"/>
  <c r="H4" i="3"/>
  <c r="G4" i="3"/>
  <c r="K3" i="3"/>
  <c r="M3" i="3" s="1"/>
  <c r="H3" i="3"/>
  <c r="G3" i="3"/>
  <c r="K2" i="3"/>
  <c r="M2" i="3" s="1"/>
  <c r="H2" i="3"/>
  <c r="G2" i="3"/>
  <c r="L4" i="1"/>
  <c r="N4" i="1" s="1"/>
  <c r="I4" i="1"/>
  <c r="H4" i="1"/>
  <c r="L3" i="1"/>
  <c r="N3" i="1" s="1"/>
  <c r="I3" i="1"/>
  <c r="H3" i="1"/>
  <c r="L2" i="1"/>
  <c r="N2" i="1" s="1"/>
  <c r="I2" i="1"/>
  <c r="H2" i="1"/>
  <c r="A21" i="10"/>
  <c r="A18" i="10"/>
  <c r="A15" i="10"/>
  <c r="A11" i="10"/>
  <c r="A7" i="10"/>
  <c r="A3" i="10"/>
  <c r="A269" i="3"/>
  <c r="A237" i="3"/>
  <c r="A266" i="3"/>
  <c r="A225" i="3"/>
  <c r="A260" i="3"/>
  <c r="A228" i="3"/>
  <c r="A226" i="3"/>
  <c r="A264" i="3"/>
  <c r="A259" i="3"/>
  <c r="A227" i="3"/>
  <c r="A234" i="3"/>
  <c r="A217" i="3"/>
  <c r="A271" i="3"/>
  <c r="A239" i="3"/>
  <c r="A270" i="3"/>
  <c r="A238" i="3"/>
  <c r="A208" i="3"/>
  <c r="A202" i="3"/>
  <c r="A203" i="3"/>
  <c r="A195" i="3"/>
  <c r="A200" i="3"/>
  <c r="A183" i="3"/>
  <c r="A189" i="3"/>
  <c r="A184" i="3"/>
  <c r="A165" i="3"/>
  <c r="A154" i="3"/>
  <c r="A172" i="3"/>
  <c r="A169" i="3"/>
  <c r="A179" i="3"/>
  <c r="A162" i="3"/>
  <c r="A167" i="3"/>
  <c r="A166" i="3"/>
  <c r="A17" i="1"/>
  <c r="A144" i="3"/>
  <c r="A16" i="1"/>
  <c r="A15" i="1"/>
  <c r="A121" i="3"/>
  <c r="A136" i="3"/>
  <c r="A135" i="3"/>
  <c r="A133" i="3"/>
  <c r="A122" i="3"/>
  <c r="A109" i="3"/>
  <c r="A115" i="3"/>
  <c r="A114" i="3"/>
  <c r="A104" i="3"/>
  <c r="A91" i="3"/>
  <c r="A99" i="3"/>
  <c r="A97" i="3"/>
  <c r="A11" i="1"/>
  <c r="A86" i="3"/>
  <c r="A76" i="3"/>
  <c r="A81" i="3"/>
  <c r="A74" i="3"/>
  <c r="A70" i="3"/>
  <c r="A2" i="1"/>
  <c r="A8" i="1"/>
  <c r="A3" i="1"/>
  <c r="A63" i="3"/>
  <c r="A59" i="3"/>
  <c r="A55" i="3"/>
  <c r="A51" i="3"/>
  <c r="A47" i="3"/>
  <c r="A29" i="3"/>
  <c r="A34" i="3"/>
  <c r="A36" i="3"/>
  <c r="A38" i="3"/>
  <c r="A32" i="3"/>
  <c r="A24" i="3"/>
  <c r="A19" i="3"/>
  <c r="A15" i="3"/>
  <c r="A12" i="3"/>
  <c r="A10" i="3"/>
  <c r="A8" i="3"/>
  <c r="A19" i="10"/>
  <c r="A8" i="10"/>
  <c r="A213" i="3"/>
  <c r="A236" i="3"/>
  <c r="A235" i="3"/>
  <c r="A224" i="3"/>
  <c r="A246" i="3"/>
  <c r="A196" i="3"/>
  <c r="A191" i="3"/>
  <c r="A173" i="3"/>
  <c r="A22" i="10"/>
  <c r="A20" i="10"/>
  <c r="A17" i="10"/>
  <c r="A14" i="10"/>
  <c r="A10" i="10"/>
  <c r="A6" i="10"/>
  <c r="A22" i="1"/>
  <c r="A261" i="3"/>
  <c r="A229" i="3"/>
  <c r="A242" i="3"/>
  <c r="A256" i="3"/>
  <c r="A252" i="3"/>
  <c r="A220" i="3"/>
  <c r="A265" i="3"/>
  <c r="A240" i="3"/>
  <c r="A251" i="3"/>
  <c r="A219" i="3"/>
  <c r="A210" i="3"/>
  <c r="A272" i="3"/>
  <c r="A263" i="3"/>
  <c r="A231" i="3"/>
  <c r="A262" i="3"/>
  <c r="A230" i="3"/>
  <c r="A20" i="1"/>
  <c r="A206" i="3"/>
  <c r="A205" i="3"/>
  <c r="A194" i="3"/>
  <c r="A192" i="3"/>
  <c r="A190" i="3"/>
  <c r="A188" i="3"/>
  <c r="A18" i="1"/>
  <c r="A157" i="3"/>
  <c r="A161" i="3"/>
  <c r="A164" i="3"/>
  <c r="A153" i="3"/>
  <c r="A171" i="3"/>
  <c r="A177" i="3"/>
  <c r="A159" i="3"/>
  <c r="A158" i="3"/>
  <c r="A146" i="3"/>
  <c r="A142" i="3"/>
  <c r="A140" i="3"/>
  <c r="A14" i="1"/>
  <c r="A126" i="3"/>
  <c r="A128" i="3"/>
  <c r="A127" i="3"/>
  <c r="A131" i="3"/>
  <c r="A118" i="3"/>
  <c r="A106" i="3"/>
  <c r="A105" i="3"/>
  <c r="A113" i="3"/>
  <c r="A12" i="1"/>
  <c r="A96" i="3"/>
  <c r="A98" i="3"/>
  <c r="A100" i="3"/>
  <c r="A89" i="3"/>
  <c r="A85" i="3"/>
  <c r="A82" i="3"/>
  <c r="A80" i="3"/>
  <c r="A73" i="3"/>
  <c r="A69" i="3"/>
  <c r="A10" i="1"/>
  <c r="A6" i="1"/>
  <c r="A66" i="3"/>
  <c r="A62" i="3"/>
  <c r="A58" i="3"/>
  <c r="A54" i="3"/>
  <c r="A50" i="3"/>
  <c r="A46" i="3"/>
  <c r="A43" i="3"/>
  <c r="A41" i="3"/>
  <c r="A28" i="3"/>
  <c r="A30" i="3"/>
  <c r="A26" i="3"/>
  <c r="A22" i="3"/>
  <c r="A18" i="3"/>
  <c r="A14" i="3"/>
  <c r="A4" i="3"/>
  <c r="A9" i="3"/>
  <c r="A2" i="3"/>
  <c r="A16" i="10"/>
  <c r="A2" i="10"/>
  <c r="A249" i="3"/>
  <c r="A250" i="3"/>
  <c r="A267" i="3"/>
  <c r="A233" i="3"/>
  <c r="A215" i="3"/>
  <c r="A199" i="3"/>
  <c r="A193" i="3"/>
  <c r="A185" i="3"/>
  <c r="A23" i="10"/>
  <c r="A24" i="1"/>
  <c r="A23" i="1"/>
  <c r="A13" i="10"/>
  <c r="A9" i="10"/>
  <c r="A5" i="10"/>
  <c r="A21" i="1"/>
  <c r="A253" i="3"/>
  <c r="A221" i="3"/>
  <c r="A218" i="3"/>
  <c r="A232" i="3"/>
  <c r="A244" i="3"/>
  <c r="A212" i="3"/>
  <c r="A241" i="3"/>
  <c r="A216" i="3"/>
  <c r="A243" i="3"/>
  <c r="A211" i="3"/>
  <c r="A257" i="3"/>
  <c r="A248" i="3"/>
  <c r="A255" i="3"/>
  <c r="A223" i="3"/>
  <c r="A254" i="3"/>
  <c r="A222" i="3"/>
  <c r="A207" i="3"/>
  <c r="A198" i="3"/>
  <c r="A197" i="3"/>
  <c r="A201" i="3"/>
  <c r="A19" i="1"/>
  <c r="A182" i="3"/>
  <c r="A186" i="3"/>
  <c r="A181" i="3"/>
  <c r="A149" i="3"/>
  <c r="A160" i="3"/>
  <c r="A156" i="3"/>
  <c r="A176" i="3"/>
  <c r="A163" i="3"/>
  <c r="A168" i="3"/>
  <c r="A151" i="3"/>
  <c r="A150" i="3"/>
  <c r="A143" i="3"/>
  <c r="A141" i="3"/>
  <c r="A139" i="3"/>
  <c r="A137" i="3"/>
  <c r="A125" i="3"/>
  <c r="A120" i="3"/>
  <c r="A119" i="3"/>
  <c r="A123" i="3"/>
  <c r="A13" i="1"/>
  <c r="A117" i="3"/>
  <c r="A116" i="3"/>
  <c r="A112" i="3"/>
  <c r="A103" i="3"/>
  <c r="A102" i="3"/>
  <c r="A101" i="3"/>
  <c r="A92" i="3"/>
  <c r="A84" i="3"/>
  <c r="A87" i="3"/>
  <c r="A78" i="3"/>
  <c r="A79" i="3"/>
  <c r="A72" i="3"/>
  <c r="A68" i="3"/>
  <c r="A7" i="1"/>
  <c r="A5" i="1"/>
  <c r="A65" i="3"/>
  <c r="A61" i="3"/>
  <c r="A57" i="3"/>
  <c r="A53" i="3"/>
  <c r="A49" i="3"/>
  <c r="A45" i="3"/>
  <c r="A35" i="3"/>
  <c r="A40" i="3"/>
  <c r="A39" i="3"/>
  <c r="A42" i="3"/>
  <c r="A25" i="3"/>
  <c r="A20" i="3"/>
  <c r="A17" i="3"/>
  <c r="A13" i="3"/>
  <c r="A11" i="3"/>
  <c r="A7" i="3"/>
  <c r="A24" i="10"/>
  <c r="A12" i="10"/>
  <c r="A4" i="10"/>
  <c r="A245" i="3"/>
  <c r="A268" i="3"/>
  <c r="A209" i="3"/>
  <c r="A258" i="3"/>
  <c r="A247" i="3"/>
  <c r="A214" i="3"/>
  <c r="A204" i="3"/>
  <c r="A187" i="3"/>
  <c r="A170" i="3"/>
  <c r="A174" i="3"/>
  <c r="A138" i="3"/>
  <c r="A134" i="3"/>
  <c r="A93" i="3"/>
  <c r="A9" i="1"/>
  <c r="A3" i="3"/>
  <c r="A111" i="3"/>
  <c r="A52" i="3"/>
  <c r="A152" i="3"/>
  <c r="A148" i="3"/>
  <c r="A130" i="3"/>
  <c r="A90" i="3"/>
  <c r="A4" i="1"/>
  <c r="A178" i="3"/>
  <c r="A155" i="3"/>
  <c r="A145" i="3"/>
  <c r="A132" i="3"/>
  <c r="A110" i="3"/>
  <c r="A95" i="3"/>
  <c r="A88" i="3"/>
  <c r="A71" i="3"/>
  <c r="A64" i="3"/>
  <c r="A48" i="3"/>
  <c r="A31" i="3"/>
  <c r="A16" i="3"/>
  <c r="A44" i="3"/>
  <c r="A6" i="3"/>
  <c r="A180" i="3"/>
  <c r="A175" i="3"/>
  <c r="A147" i="3"/>
  <c r="A124" i="3"/>
  <c r="A108" i="3"/>
  <c r="A94" i="3"/>
  <c r="A83" i="3"/>
  <c r="A67" i="3"/>
  <c r="A60" i="3"/>
  <c r="A37" i="3"/>
  <c r="A33" i="3"/>
  <c r="A5" i="3"/>
  <c r="A107" i="3"/>
  <c r="A77" i="3"/>
  <c r="A56" i="3"/>
  <c r="A27" i="3"/>
  <c r="A21" i="3"/>
  <c r="A129" i="3"/>
  <c r="A75" i="3"/>
  <c r="A23" i="3"/>
  <c r="D195" i="3" l="1"/>
  <c r="D198" i="3"/>
  <c r="D200" i="3"/>
  <c r="D202" i="3"/>
  <c r="D205" i="3"/>
  <c r="D204" i="3"/>
  <c r="D192" i="3"/>
  <c r="D194" i="3"/>
  <c r="D197" i="3"/>
  <c r="D199" i="3"/>
  <c r="D201" i="3"/>
  <c r="D203" i="3"/>
  <c r="D154" i="3"/>
  <c r="D164" i="3"/>
  <c r="D175" i="3"/>
  <c r="D148" i="3"/>
  <c r="D174" i="3"/>
  <c r="D182" i="3"/>
  <c r="D190" i="3"/>
  <c r="D271" i="3"/>
  <c r="D141" i="3"/>
  <c r="D159" i="3"/>
  <c r="D144" i="3"/>
  <c r="D186" i="3"/>
  <c r="D258" i="3"/>
  <c r="D263" i="3"/>
  <c r="D143" i="3"/>
  <c r="D169" i="3"/>
  <c r="D151" i="3"/>
  <c r="D179" i="3"/>
  <c r="D187" i="3"/>
  <c r="D155" i="3"/>
  <c r="B249" i="3"/>
  <c r="B250" i="3" s="1"/>
  <c r="B2" i="3"/>
  <c r="B10" i="3"/>
  <c r="B11" i="3" s="1"/>
  <c r="B18" i="3"/>
  <c r="B26" i="3"/>
  <c r="B34" i="3"/>
  <c r="B42" i="3"/>
  <c r="B50" i="3"/>
  <c r="B58" i="3"/>
  <c r="B59" i="3" s="1"/>
  <c r="B66" i="3"/>
  <c r="B74" i="3"/>
  <c r="B75" i="3" s="1"/>
  <c r="B82" i="3"/>
  <c r="B90" i="3"/>
  <c r="B114" i="3"/>
  <c r="B115" i="3" s="1"/>
  <c r="B122" i="3"/>
  <c r="B130" i="3"/>
  <c r="B138" i="3"/>
  <c r="B146" i="3"/>
  <c r="B154" i="3"/>
  <c r="B162" i="3"/>
  <c r="B170" i="3"/>
  <c r="B186" i="3"/>
  <c r="B194" i="3"/>
  <c r="B202" i="3"/>
  <c r="B210" i="3"/>
  <c r="B218" i="3"/>
  <c r="B226" i="3"/>
  <c r="B234" i="3"/>
  <c r="B242" i="3"/>
  <c r="B258" i="3"/>
  <c r="B260" i="3" s="1"/>
  <c r="B266" i="3"/>
  <c r="B3" i="3"/>
  <c r="B19" i="3"/>
  <c r="B27" i="3"/>
  <c r="B35" i="3"/>
  <c r="B36" i="3" s="1"/>
  <c r="B43" i="3"/>
  <c r="B51" i="3"/>
  <c r="B67" i="3"/>
  <c r="B68" i="3" s="1"/>
  <c r="B83" i="3"/>
  <c r="B91" i="3"/>
  <c r="B107" i="3"/>
  <c r="B123" i="3"/>
  <c r="B125" i="3" s="1"/>
  <c r="B131" i="3"/>
  <c r="B139" i="3"/>
  <c r="B147" i="3"/>
  <c r="B155" i="3"/>
  <c r="B163" i="3"/>
  <c r="B171" i="3"/>
  <c r="B179" i="3"/>
  <c r="B187" i="3"/>
  <c r="B195" i="3"/>
  <c r="B203" i="3"/>
  <c r="B211" i="3"/>
  <c r="B219" i="3"/>
  <c r="B220" i="3" s="1"/>
  <c r="B227" i="3"/>
  <c r="B235" i="3"/>
  <c r="B243" i="3"/>
  <c r="B251" i="3"/>
  <c r="B267" i="3"/>
  <c r="B17" i="3"/>
  <c r="B49" i="3"/>
  <c r="B65" i="3"/>
  <c r="B105" i="3"/>
  <c r="B106" i="3" s="1"/>
  <c r="B121" i="3"/>
  <c r="B129" i="3"/>
  <c r="B145" i="3"/>
  <c r="B153" i="3"/>
  <c r="B161" i="3"/>
  <c r="B169" i="3"/>
  <c r="B177" i="3"/>
  <c r="B178" i="3" s="1"/>
  <c r="B185" i="3"/>
  <c r="B193" i="3"/>
  <c r="B209" i="3"/>
  <c r="B225" i="3"/>
  <c r="B233" i="3"/>
  <c r="B241" i="3"/>
  <c r="B265" i="3"/>
  <c r="B4" i="3"/>
  <c r="B12" i="3"/>
  <c r="B20" i="3"/>
  <c r="B28" i="3"/>
  <c r="B29" i="3" s="1"/>
  <c r="B44" i="3"/>
  <c r="B45" i="3" s="1"/>
  <c r="B52" i="3"/>
  <c r="B60" i="3"/>
  <c r="B61" i="3" s="1"/>
  <c r="B76" i="3"/>
  <c r="B84" i="3"/>
  <c r="B92" i="3"/>
  <c r="B108" i="3"/>
  <c r="B116" i="3"/>
  <c r="B132" i="3"/>
  <c r="B140" i="3"/>
  <c r="B148" i="3"/>
  <c r="B156" i="3"/>
  <c r="B164" i="3"/>
  <c r="B172" i="3"/>
  <c r="B180" i="3"/>
  <c r="B188" i="3"/>
  <c r="B196" i="3"/>
  <c r="B204" i="3"/>
  <c r="B212" i="3"/>
  <c r="B228" i="3"/>
  <c r="B236" i="3"/>
  <c r="B237" i="3" s="1"/>
  <c r="B244" i="3"/>
  <c r="B252" i="3"/>
  <c r="B268" i="3"/>
  <c r="B5" i="3"/>
  <c r="B13" i="3"/>
  <c r="B21" i="3"/>
  <c r="B37" i="3"/>
  <c r="B38" i="3" s="1"/>
  <c r="B53" i="3"/>
  <c r="B69" i="3"/>
  <c r="B70" i="3" s="1"/>
  <c r="B77" i="3"/>
  <c r="B78" i="3" s="1"/>
  <c r="B85" i="3"/>
  <c r="B93" i="3"/>
  <c r="B95" i="3" s="1"/>
  <c r="B101" i="3"/>
  <c r="B109" i="3"/>
  <c r="B117" i="3"/>
  <c r="B133" i="3"/>
  <c r="B134" i="3" s="1"/>
  <c r="B141" i="3"/>
  <c r="B149" i="3"/>
  <c r="B157" i="3"/>
  <c r="B158" i="3" s="1"/>
  <c r="B165" i="3"/>
  <c r="B173" i="3"/>
  <c r="B181" i="3"/>
  <c r="B189" i="3"/>
  <c r="B197" i="3"/>
  <c r="B205" i="3"/>
  <c r="B213" i="3"/>
  <c r="B221" i="3"/>
  <c r="B229" i="3"/>
  <c r="B231" i="3" s="1"/>
  <c r="B245" i="3"/>
  <c r="B253" i="3"/>
  <c r="B269" i="3"/>
  <c r="B9" i="3"/>
  <c r="B25" i="3"/>
  <c r="B41" i="3"/>
  <c r="B57" i="3"/>
  <c r="B81" i="3"/>
  <c r="B113" i="3"/>
  <c r="B257" i="3"/>
  <c r="B6" i="3"/>
  <c r="B14" i="3"/>
  <c r="B22" i="3"/>
  <c r="B46" i="3"/>
  <c r="B54" i="3"/>
  <c r="B62" i="3"/>
  <c r="B63" i="3" s="1"/>
  <c r="B86" i="3"/>
  <c r="B102" i="3"/>
  <c r="B110" i="3"/>
  <c r="B118" i="3"/>
  <c r="B126" i="3"/>
  <c r="B127" i="3" s="1"/>
  <c r="B142" i="3"/>
  <c r="B150" i="3"/>
  <c r="B166" i="3"/>
  <c r="B174" i="3"/>
  <c r="B182" i="3"/>
  <c r="B190" i="3"/>
  <c r="B198" i="3"/>
  <c r="B206" i="3"/>
  <c r="B207" i="3" s="1"/>
  <c r="B214" i="3"/>
  <c r="B222" i="3"/>
  <c r="B238" i="3"/>
  <c r="B246" i="3"/>
  <c r="B254" i="3"/>
  <c r="B255" i="3" s="1"/>
  <c r="B270" i="3"/>
  <c r="B7" i="3"/>
  <c r="B15" i="3"/>
  <c r="B23" i="3"/>
  <c r="B39" i="3"/>
  <c r="B47" i="3"/>
  <c r="B55" i="3"/>
  <c r="B71" i="3"/>
  <c r="B79" i="3"/>
  <c r="B80" i="3" s="1"/>
  <c r="B87" i="3"/>
  <c r="B103" i="3"/>
  <c r="B111" i="3"/>
  <c r="B119" i="3"/>
  <c r="B135" i="3"/>
  <c r="B136" i="3" s="1"/>
  <c r="B143" i="3"/>
  <c r="B151" i="3"/>
  <c r="B159" i="3"/>
  <c r="B167" i="3"/>
  <c r="B175" i="3"/>
  <c r="B183" i="3"/>
  <c r="B191" i="3"/>
  <c r="B199" i="3"/>
  <c r="B215" i="3"/>
  <c r="B223" i="3"/>
  <c r="F22" i="1" s="1"/>
  <c r="B239" i="3"/>
  <c r="B247" i="3"/>
  <c r="B263" i="3"/>
  <c r="B271" i="3"/>
  <c r="B217" i="3"/>
  <c r="B262" i="3"/>
  <c r="B8" i="3"/>
  <c r="B16" i="3"/>
  <c r="B24" i="3"/>
  <c r="B32" i="3"/>
  <c r="B33" i="3" s="1"/>
  <c r="B40" i="3"/>
  <c r="B48" i="3"/>
  <c r="B56" i="3"/>
  <c r="B64" i="3"/>
  <c r="B72" i="3"/>
  <c r="B73" i="3" s="1"/>
  <c r="B88" i="3"/>
  <c r="B89" i="3" s="1"/>
  <c r="B96" i="3"/>
  <c r="B99" i="3" s="1"/>
  <c r="B104" i="3"/>
  <c r="B112" i="3"/>
  <c r="B120" i="3"/>
  <c r="B128" i="3"/>
  <c r="B144" i="3"/>
  <c r="B152" i="3"/>
  <c r="B160" i="3"/>
  <c r="B168" i="3"/>
  <c r="B176" i="3"/>
  <c r="B184" i="3"/>
  <c r="B192" i="3"/>
  <c r="B200" i="3"/>
  <c r="B201" i="3" s="1"/>
  <c r="B216" i="3"/>
  <c r="B224" i="3"/>
  <c r="B232" i="3"/>
  <c r="B240" i="3"/>
  <c r="B248" i="3"/>
  <c r="B256" i="3"/>
  <c r="B264" i="3"/>
  <c r="F24" i="1" s="1"/>
  <c r="B272" i="3"/>
  <c r="B94" i="3"/>
  <c r="B124" i="3"/>
  <c r="B230" i="3"/>
  <c r="B208" i="3"/>
  <c r="B20" i="10"/>
  <c r="B24" i="1"/>
  <c r="B17" i="10"/>
  <c r="B9" i="10"/>
  <c r="B10" i="10"/>
  <c r="B14" i="10"/>
  <c r="B11" i="10"/>
  <c r="B8" i="10"/>
  <c r="B23" i="1"/>
  <c r="B5" i="10"/>
  <c r="B3" i="10"/>
  <c r="B4" i="10" s="1"/>
  <c r="B22" i="1"/>
  <c r="B21" i="1"/>
  <c r="D2" i="10" s="1"/>
  <c r="D139" i="3"/>
  <c r="D142" i="3"/>
  <c r="D150" i="3"/>
  <c r="D156" i="3"/>
  <c r="D160" i="3"/>
  <c r="D165" i="3"/>
  <c r="D171" i="3"/>
  <c r="D176" i="3"/>
  <c r="D180" i="3"/>
  <c r="D146" i="3"/>
  <c r="D153" i="3"/>
  <c r="D158" i="3"/>
  <c r="D163" i="3"/>
  <c r="D168" i="3"/>
  <c r="D173" i="3"/>
  <c r="D178" i="3"/>
  <c r="D145" i="3"/>
  <c r="D140" i="3"/>
  <c r="D162" i="3"/>
  <c r="D167" i="3"/>
  <c r="D152" i="3"/>
  <c r="D157" i="3"/>
  <c r="D161" i="3"/>
  <c r="D166" i="3"/>
  <c r="D172" i="3"/>
  <c r="D177" i="3"/>
  <c r="E12" i="1"/>
  <c r="E13" i="1"/>
  <c r="E11" i="1"/>
  <c r="E10" i="1"/>
  <c r="D80" i="3"/>
  <c r="D70" i="3"/>
  <c r="D89" i="3"/>
  <c r="D88" i="3"/>
  <c r="D84" i="3"/>
  <c r="D74" i="3"/>
  <c r="D69" i="3"/>
  <c r="D85" i="3"/>
  <c r="D86" i="3"/>
  <c r="D82" i="3"/>
  <c r="D78" i="3"/>
  <c r="D72" i="3"/>
  <c r="D68" i="3"/>
  <c r="D81" i="3"/>
  <c r="D67" i="3"/>
  <c r="D79" i="3"/>
  <c r="D75" i="3"/>
  <c r="D76" i="3"/>
  <c r="D73" i="3"/>
  <c r="D87" i="3"/>
  <c r="D83" i="3"/>
  <c r="D77" i="3"/>
  <c r="D71" i="3"/>
  <c r="D96" i="3"/>
  <c r="D94" i="3"/>
  <c r="D99" i="3"/>
  <c r="D97" i="3"/>
  <c r="D102" i="3"/>
  <c r="D101" i="3"/>
  <c r="D91" i="3"/>
  <c r="D90" i="3"/>
  <c r="D92" i="3"/>
  <c r="D95" i="3"/>
  <c r="D103" i="3"/>
  <c r="D93" i="3"/>
  <c r="D100" i="3"/>
  <c r="D98" i="3"/>
  <c r="D110" i="3"/>
  <c r="D111" i="3"/>
  <c r="D105" i="3"/>
  <c r="D104" i="3"/>
  <c r="D115" i="3"/>
  <c r="D116" i="3"/>
  <c r="D108" i="3"/>
  <c r="D112" i="3"/>
  <c r="D107" i="3"/>
  <c r="D113" i="3"/>
  <c r="D117" i="3"/>
  <c r="D114" i="3"/>
  <c r="D109" i="3"/>
  <c r="D106" i="3"/>
  <c r="D136" i="3"/>
  <c r="D135" i="3"/>
  <c r="D130" i="3"/>
  <c r="D133" i="3"/>
  <c r="D128" i="3"/>
  <c r="D121" i="3"/>
  <c r="D134" i="3"/>
  <c r="D122" i="3"/>
  <c r="D126" i="3"/>
  <c r="D123" i="3"/>
  <c r="D119" i="3"/>
  <c r="D125" i="3"/>
  <c r="D129" i="3"/>
  <c r="D137" i="3"/>
  <c r="D131" i="3"/>
  <c r="D127" i="3"/>
  <c r="D124" i="3"/>
  <c r="D118" i="3"/>
  <c r="D132" i="3"/>
  <c r="D120" i="3"/>
  <c r="D33" i="3"/>
  <c r="D7" i="3"/>
  <c r="D22" i="3"/>
  <c r="D57" i="3"/>
  <c r="E9" i="1"/>
  <c r="D66" i="3"/>
  <c r="D27" i="3"/>
  <c r="D45" i="3"/>
  <c r="D24" i="10" l="1"/>
  <c r="D23" i="10"/>
  <c r="D20" i="10"/>
  <c r="D22" i="10"/>
  <c r="D21" i="10"/>
  <c r="D18" i="10"/>
  <c r="D17" i="10"/>
  <c r="D19" i="10"/>
  <c r="D7" i="10"/>
  <c r="D16" i="10"/>
  <c r="D6" i="10"/>
  <c r="D14" i="10"/>
  <c r="D12" i="10"/>
  <c r="D10" i="10"/>
  <c r="D8" i="10"/>
  <c r="D15" i="10"/>
  <c r="D5" i="10"/>
  <c r="D4" i="10"/>
  <c r="D13" i="10"/>
  <c r="D11" i="10"/>
  <c r="D9" i="10"/>
  <c r="D3" i="10"/>
  <c r="B100" i="3"/>
  <c r="B31" i="3"/>
  <c r="B30" i="3"/>
  <c r="B98" i="3"/>
  <c r="F21" i="1"/>
  <c r="B261" i="3"/>
  <c r="B97" i="3"/>
  <c r="B259" i="3"/>
  <c r="F23" i="1"/>
  <c r="B137" i="3"/>
  <c r="B18" i="10"/>
  <c r="B19" i="10"/>
  <c r="B6" i="10"/>
  <c r="B7" i="10"/>
  <c r="B23" i="10"/>
  <c r="B24" i="10"/>
  <c r="B22" i="10"/>
  <c r="B21" i="10"/>
  <c r="B12" i="10"/>
  <c r="B13" i="10"/>
  <c r="B16" i="10"/>
  <c r="B15" i="10"/>
  <c r="D62" i="3"/>
  <c r="D31" i="3"/>
  <c r="D34" i="3"/>
  <c r="D28" i="3"/>
  <c r="D37" i="3"/>
  <c r="D23" i="3"/>
  <c r="D10" i="3"/>
  <c r="D17" i="3"/>
  <c r="D9" i="3"/>
  <c r="D19" i="3"/>
  <c r="D20" i="3"/>
  <c r="D16" i="3"/>
  <c r="D2" i="3"/>
  <c r="D15" i="3"/>
  <c r="D32" i="3"/>
  <c r="D40" i="3"/>
  <c r="D18" i="3"/>
  <c r="D25" i="3"/>
  <c r="D60" i="3"/>
  <c r="D65" i="3"/>
  <c r="D39" i="3"/>
  <c r="D35" i="3"/>
  <c r="D24" i="3"/>
  <c r="D14" i="3"/>
  <c r="D6" i="3"/>
  <c r="D21" i="3"/>
  <c r="D3" i="3"/>
  <c r="D11" i="3"/>
  <c r="D52" i="3"/>
  <c r="D4" i="3"/>
  <c r="D12" i="3"/>
  <c r="D36" i="3"/>
  <c r="D44" i="3"/>
  <c r="D63" i="3"/>
  <c r="D64" i="3"/>
  <c r="D46" i="3"/>
  <c r="D48" i="3"/>
  <c r="D56" i="3"/>
  <c r="D5" i="3"/>
  <c r="D13" i="3"/>
  <c r="D30" i="3"/>
  <c r="D41" i="3"/>
  <c r="D42" i="3"/>
  <c r="D43" i="3"/>
  <c r="D47" i="3"/>
  <c r="D51" i="3"/>
  <c r="D55" i="3"/>
  <c r="D59" i="3"/>
  <c r="D54" i="3"/>
  <c r="D8" i="3"/>
  <c r="D29" i="3"/>
  <c r="D38" i="3"/>
  <c r="E7" i="1"/>
  <c r="D61" i="3"/>
  <c r="D50" i="3"/>
  <c r="D58" i="3"/>
  <c r="D26" i="3"/>
  <c r="D49" i="3"/>
  <c r="D53" i="3"/>
  <c r="E5" i="1" l="1"/>
  <c r="E4" i="1"/>
  <c r="E6" i="1"/>
  <c r="B2" i="1"/>
  <c r="E20" i="1" s="1"/>
  <c r="E18" i="1" l="1"/>
  <c r="E19" i="1"/>
  <c r="E8" i="1"/>
  <c r="E14" i="1"/>
  <c r="E3" i="1"/>
</calcChain>
</file>

<file path=xl/sharedStrings.xml><?xml version="1.0" encoding="utf-8"?>
<sst xmlns="http://schemas.openxmlformats.org/spreadsheetml/2006/main" count="1904" uniqueCount="625">
  <si>
    <t>FIFA</t>
  </si>
  <si>
    <t>International Federation of Association Football</t>
  </si>
  <si>
    <t>null</t>
  </si>
  <si>
    <t>lowdate</t>
  </si>
  <si>
    <t>highdate</t>
  </si>
  <si>
    <t>adminId</t>
  </si>
  <si>
    <t>AFC</t>
  </si>
  <si>
    <t>Asian Football Confederation</t>
  </si>
  <si>
    <t>PrimaryKey</t>
  </si>
  <si>
    <t>HeaderKey</t>
  </si>
  <si>
    <t>OrganisationName</t>
  </si>
  <si>
    <t>OrganisationDescription</t>
  </si>
  <si>
    <t>ParentOrganisationGuid</t>
  </si>
  <si>
    <t>CountryGuid</t>
  </si>
  <si>
    <t>WebAddress</t>
  </si>
  <si>
    <t>EffectiveFrom</t>
  </si>
  <si>
    <t>EffectiveTo</t>
  </si>
  <si>
    <t>IsMarkedForDeletion</t>
  </si>
  <si>
    <t>IsActive</t>
  </si>
  <si>
    <t>OwnerUserId</t>
  </si>
  <si>
    <t>DateCreated</t>
  </si>
  <si>
    <t>ModifiedUserId</t>
  </si>
  <si>
    <t>DateModified</t>
  </si>
  <si>
    <t>1850-01-01 00:00:00</t>
  </si>
  <si>
    <t>administrator@footballoracle.co.uk</t>
  </si>
  <si>
    <t>false</t>
  </si>
  <si>
    <t>true</t>
  </si>
  <si>
    <t>CountryName</t>
  </si>
  <si>
    <t>OrganisationGuid</t>
  </si>
  <si>
    <t>1971-12-31 23:59:59'</t>
  </si>
  <si>
    <t>1972-01-01 00:00:00'</t>
  </si>
  <si>
    <t>AFC(SEAFF)</t>
  </si>
  <si>
    <t>AFC(CSAFF)</t>
  </si>
  <si>
    <t>AFC(EAFF)</t>
  </si>
  <si>
    <t>AFC(WAFF)</t>
  </si>
  <si>
    <t>CAF</t>
  </si>
  <si>
    <t>UNAF</t>
  </si>
  <si>
    <t>WAFU</t>
  </si>
  <si>
    <t>CECAFA</t>
  </si>
  <si>
    <t>CFU</t>
  </si>
  <si>
    <t>CONCACAF</t>
  </si>
  <si>
    <t>CONMEBOL</t>
  </si>
  <si>
    <t>COSAFA</t>
  </si>
  <si>
    <t>NAF</t>
  </si>
  <si>
    <t>OFC</t>
  </si>
  <si>
    <t>Premier League</t>
  </si>
  <si>
    <t>Scottish Football Association</t>
  </si>
  <si>
    <t>The Football Conference</t>
  </si>
  <si>
    <t>The Football League</t>
  </si>
  <si>
    <t>UEFA</t>
  </si>
  <si>
    <t>UNCAF</t>
  </si>
  <si>
    <t>UNIFFAC</t>
  </si>
  <si>
    <t>Central and South Asia Football Federation</t>
  </si>
  <si>
    <t>East Asia Football Federation</t>
  </si>
  <si>
    <t>South East Asia Football Federation</t>
  </si>
  <si>
    <t>West Asian Football Federation</t>
  </si>
  <si>
    <t>Confederation of African Football</t>
  </si>
  <si>
    <t>Union of North African Football Federations</t>
  </si>
  <si>
    <t>West Africa Football Union</t>
  </si>
  <si>
    <t>2999-12-31  23:59:59</t>
  </si>
  <si>
    <t>Afghanistan</t>
  </si>
  <si>
    <t>Bangladesh</t>
  </si>
  <si>
    <t>Bhutan</t>
  </si>
  <si>
    <t>India</t>
  </si>
  <si>
    <t>Kyrgyzstan</t>
  </si>
  <si>
    <t>Maldives</t>
  </si>
  <si>
    <t>Nepal</t>
  </si>
  <si>
    <t>Pakistan</t>
  </si>
  <si>
    <t>Ceylon</t>
  </si>
  <si>
    <t>Sri Lanka</t>
  </si>
  <si>
    <t>Tajikistan</t>
  </si>
  <si>
    <t>Turkmenistan</t>
  </si>
  <si>
    <t>Uzbekistan</t>
  </si>
  <si>
    <t>China</t>
  </si>
  <si>
    <t>Guam</t>
  </si>
  <si>
    <t>Hong Kong</t>
  </si>
  <si>
    <t>Japan</t>
  </si>
  <si>
    <t>North Korea</t>
  </si>
  <si>
    <t>South Korea</t>
  </si>
  <si>
    <t>Macau</t>
  </si>
  <si>
    <t>Mongolia</t>
  </si>
  <si>
    <t>Northern Mariana Islands</t>
  </si>
  <si>
    <t>Palau</t>
  </si>
  <si>
    <t>Chinese Taipei</t>
  </si>
  <si>
    <t>Australia</t>
  </si>
  <si>
    <t>Brunei</t>
  </si>
  <si>
    <t>Cambodia</t>
  </si>
  <si>
    <t>Khmer Republic</t>
  </si>
  <si>
    <t>Kampuchea</t>
  </si>
  <si>
    <t>Dutch East Indies</t>
  </si>
  <si>
    <t>Indonesia</t>
  </si>
  <si>
    <t>Laos</t>
  </si>
  <si>
    <t>Malaya</t>
  </si>
  <si>
    <t>Malaysia</t>
  </si>
  <si>
    <t>Burma</t>
  </si>
  <si>
    <t>Myanmar</t>
  </si>
  <si>
    <t>Philippines</t>
  </si>
  <si>
    <t>Singapore</t>
  </si>
  <si>
    <t>Thailand</t>
  </si>
  <si>
    <t>East Timor</t>
  </si>
  <si>
    <t>South Vietnam</t>
  </si>
  <si>
    <t>North Vietnam</t>
  </si>
  <si>
    <t>Vietnam</t>
  </si>
  <si>
    <t>Bahrain</t>
  </si>
  <si>
    <t>Iraq</t>
  </si>
  <si>
    <t>Jordan</t>
  </si>
  <si>
    <t>Kuwait</t>
  </si>
  <si>
    <t>Lebanon</t>
  </si>
  <si>
    <t>Oman</t>
  </si>
  <si>
    <t>Palestine</t>
  </si>
  <si>
    <t>Qatar</t>
  </si>
  <si>
    <t>Saudi Arabia</t>
  </si>
  <si>
    <t>South Yemen</t>
  </si>
  <si>
    <t>Syria</t>
  </si>
  <si>
    <t>United Arab Emirates</t>
  </si>
  <si>
    <t>North Yemen</t>
  </si>
  <si>
    <t>Yemen</t>
  </si>
  <si>
    <t>FLN Team</t>
  </si>
  <si>
    <t>Algeria</t>
  </si>
  <si>
    <t>United Arab Republic</t>
  </si>
  <si>
    <t>Egypt</t>
  </si>
  <si>
    <t>Libya</t>
  </si>
  <si>
    <t>Morocco</t>
  </si>
  <si>
    <t>Tunisia</t>
  </si>
  <si>
    <t>Dahomey</t>
  </si>
  <si>
    <t>Benin</t>
  </si>
  <si>
    <t>Upper Volta</t>
  </si>
  <si>
    <t>Burkina Faso</t>
  </si>
  <si>
    <t>Cape Verde</t>
  </si>
  <si>
    <t>British Gambia</t>
  </si>
  <si>
    <t>Gambia</t>
  </si>
  <si>
    <t>Gold Coast</t>
  </si>
  <si>
    <t>Ghana</t>
  </si>
  <si>
    <t>Guinea</t>
  </si>
  <si>
    <t>Portuguese Guinea</t>
  </si>
  <si>
    <t>Guinea-Bissau</t>
  </si>
  <si>
    <t>Ivory Coast</t>
  </si>
  <si>
    <t>Côte d''Ivoire</t>
  </si>
  <si>
    <t>Liberia</t>
  </si>
  <si>
    <t>Mali</t>
  </si>
  <si>
    <t>Mauritania</t>
  </si>
  <si>
    <t>Niger</t>
  </si>
  <si>
    <t>Nigeria</t>
  </si>
  <si>
    <t>Senegal</t>
  </si>
  <si>
    <t>Sierra Leone</t>
  </si>
  <si>
    <t>French Togoland</t>
  </si>
  <si>
    <t>Togo</t>
  </si>
  <si>
    <t>Central African Football Federations'' Union</t>
  </si>
  <si>
    <t>Cameroon</t>
  </si>
  <si>
    <t>Central African Republic</t>
  </si>
  <si>
    <t>Chad</t>
  </si>
  <si>
    <t>Middle Congo</t>
  </si>
  <si>
    <t>Congo-Brazzaville</t>
  </si>
  <si>
    <t>Congo</t>
  </si>
  <si>
    <t>Belgian Congo</t>
  </si>
  <si>
    <t>Congo-Léopoldville</t>
  </si>
  <si>
    <t>Congo-Kinshasa</t>
  </si>
  <si>
    <t>Zaire</t>
  </si>
  <si>
    <t>DR Congo</t>
  </si>
  <si>
    <t>Equatorial Guinea</t>
  </si>
  <si>
    <t>Gabon</t>
  </si>
  <si>
    <t>São Tomé and Príncipe</t>
  </si>
  <si>
    <t>Council for East and Central Africa Football Associations</t>
  </si>
  <si>
    <t>Burundi</t>
  </si>
  <si>
    <t>French Somaliland</t>
  </si>
  <si>
    <t>Djibouti</t>
  </si>
  <si>
    <t>Ethiopia</t>
  </si>
  <si>
    <t>Eritrea</t>
  </si>
  <si>
    <t>Kenya</t>
  </si>
  <si>
    <t>Rwanda</t>
  </si>
  <si>
    <t>Somalia</t>
  </si>
  <si>
    <t>South Sudan</t>
  </si>
  <si>
    <t>Sudan</t>
  </si>
  <si>
    <t>Tanganyika</t>
  </si>
  <si>
    <t>Tanzania</t>
  </si>
  <si>
    <t>Uganda</t>
  </si>
  <si>
    <t>Zanzibar</t>
  </si>
  <si>
    <t>Council of Southern Africa Football Associations</t>
  </si>
  <si>
    <t>Angola</t>
  </si>
  <si>
    <t>Botswana</t>
  </si>
  <si>
    <t>Comoros</t>
  </si>
  <si>
    <t>Lesotho</t>
  </si>
  <si>
    <t>Mauritius</t>
  </si>
  <si>
    <t>Madagascar</t>
  </si>
  <si>
    <t>Malagasy Republic</t>
  </si>
  <si>
    <t>Nyasaland</t>
  </si>
  <si>
    <t>Malawi</t>
  </si>
  <si>
    <t>Mozambique</t>
  </si>
  <si>
    <t>Namibia</t>
  </si>
  <si>
    <t>Seychelles</t>
  </si>
  <si>
    <t>South Africa</t>
  </si>
  <si>
    <t>Swaziland</t>
  </si>
  <si>
    <t>Northern Rhodesia</t>
  </si>
  <si>
    <t>Zambia</t>
  </si>
  <si>
    <t>Southern Rhodesia</t>
  </si>
  <si>
    <t>Rhodesia</t>
  </si>
  <si>
    <t>Zimbabwe</t>
  </si>
  <si>
    <t>Confederation of North, Central American and Caribbean Association Football</t>
  </si>
  <si>
    <t>North American Zone</t>
  </si>
  <si>
    <t>Canada</t>
  </si>
  <si>
    <t>Mexico</t>
  </si>
  <si>
    <t>United States</t>
  </si>
  <si>
    <t>Central American Zone</t>
  </si>
  <si>
    <t>Belize</t>
  </si>
  <si>
    <t>Costa Rica</t>
  </si>
  <si>
    <t>El Salvador</t>
  </si>
  <si>
    <t>Guatemala</t>
  </si>
  <si>
    <t>Honduras</t>
  </si>
  <si>
    <t>Nicaragua</t>
  </si>
  <si>
    <t>Panama</t>
  </si>
  <si>
    <t>Caribbean Zone</t>
  </si>
  <si>
    <t>Anguilla</t>
  </si>
  <si>
    <t>Antigua and Barbuda</t>
  </si>
  <si>
    <t>Aruba</t>
  </si>
  <si>
    <t>Bahamas</t>
  </si>
  <si>
    <t>Barbados</t>
  </si>
  <si>
    <t>Bermuda</t>
  </si>
  <si>
    <t>Bonaire</t>
  </si>
  <si>
    <t>British Virgin Islands</t>
  </si>
  <si>
    <t>Cayman Islands</t>
  </si>
  <si>
    <t>Cuba</t>
  </si>
  <si>
    <t>Netherlands Antilles</t>
  </si>
  <si>
    <t>Curaçao</t>
  </si>
  <si>
    <t>Dominica</t>
  </si>
  <si>
    <t>Dominican Republic</t>
  </si>
  <si>
    <t>French Guiana</t>
  </si>
  <si>
    <t>Grenada</t>
  </si>
  <si>
    <t>Guadeloupe</t>
  </si>
  <si>
    <t>British Guiana</t>
  </si>
  <si>
    <t>Guyana</t>
  </si>
  <si>
    <t>Haiti</t>
  </si>
  <si>
    <t>Jamaica</t>
  </si>
  <si>
    <t>Martinique</t>
  </si>
  <si>
    <t>Montserrat</t>
  </si>
  <si>
    <t>Puerto Rico</t>
  </si>
  <si>
    <t>Saint Kitts and Nevis</t>
  </si>
  <si>
    <t>Saint Lucia</t>
  </si>
  <si>
    <t>Saint Martin</t>
  </si>
  <si>
    <t>Saint Vincent and the Grenadines</t>
  </si>
  <si>
    <t>Sint Maarten</t>
  </si>
  <si>
    <t>Surinam</t>
  </si>
  <si>
    <t>Suriname</t>
  </si>
  <si>
    <t>Trinidad and Tobago</t>
  </si>
  <si>
    <t>Turks and Caicos Islands</t>
  </si>
  <si>
    <t>U.S. Virgin Islands</t>
  </si>
  <si>
    <t>Confederación Sudamericana de Fútbol</t>
  </si>
  <si>
    <t>Argentina</t>
  </si>
  <si>
    <t>Bolivia</t>
  </si>
  <si>
    <t>Brazil</t>
  </si>
  <si>
    <t>Chile</t>
  </si>
  <si>
    <t>Colombia</t>
  </si>
  <si>
    <t>Ecuador</t>
  </si>
  <si>
    <t>Paraguay</t>
  </si>
  <si>
    <t>Peru</t>
  </si>
  <si>
    <t>Uruguay</t>
  </si>
  <si>
    <t>Venezuela</t>
  </si>
  <si>
    <t>Oceania Football Confederation</t>
  </si>
  <si>
    <t>American Samoa</t>
  </si>
  <si>
    <t>Cook Islands</t>
  </si>
  <si>
    <t>Fiji</t>
  </si>
  <si>
    <t>Kiribati</t>
  </si>
  <si>
    <t>New Caledonia</t>
  </si>
  <si>
    <t>New Zealand</t>
  </si>
  <si>
    <t>Niue</t>
  </si>
  <si>
    <t>Papua New Guinea</t>
  </si>
  <si>
    <t>Western Samoa</t>
  </si>
  <si>
    <t>Samoa</t>
  </si>
  <si>
    <t>Solomon Islands</t>
  </si>
  <si>
    <t>Tahiti (French Polynesia)</t>
  </si>
  <si>
    <t>Tonga</t>
  </si>
  <si>
    <t>Tuvalu</t>
  </si>
  <si>
    <t>New Hebrides</t>
  </si>
  <si>
    <t>Vanuatu</t>
  </si>
  <si>
    <t>Union of European Football Associations</t>
  </si>
  <si>
    <t>Albania</t>
  </si>
  <si>
    <t>Andorra</t>
  </si>
  <si>
    <t>Armenia</t>
  </si>
  <si>
    <t>Austria</t>
  </si>
  <si>
    <t>Azerbaijan</t>
  </si>
  <si>
    <t>Belarus</t>
  </si>
  <si>
    <t>Belgium</t>
  </si>
  <si>
    <t>Bosnia and Herzegovina</t>
  </si>
  <si>
    <t>Bulgaria</t>
  </si>
  <si>
    <t>Croatia</t>
  </si>
  <si>
    <t>Cyprus</t>
  </si>
  <si>
    <t>Czechoslovakia</t>
  </si>
  <si>
    <t>Czech Republic</t>
  </si>
  <si>
    <t>Denmark</t>
  </si>
  <si>
    <t>East Germany</t>
  </si>
  <si>
    <t>England</t>
  </si>
  <si>
    <t>Estonia</t>
  </si>
  <si>
    <t>Faroe Islands</t>
  </si>
  <si>
    <t>Finland</t>
  </si>
  <si>
    <t>France</t>
  </si>
  <si>
    <t>Georgia</t>
  </si>
  <si>
    <t>Germany</t>
  </si>
  <si>
    <t>West Germany</t>
  </si>
  <si>
    <t>Gibraltar</t>
  </si>
  <si>
    <t>Greece</t>
  </si>
  <si>
    <t>Hungary</t>
  </si>
  <si>
    <t>Iceland</t>
  </si>
  <si>
    <t>Palestine, British Mandate</t>
  </si>
  <si>
    <t>Israel</t>
  </si>
  <si>
    <t>Italy</t>
  </si>
  <si>
    <t>Kazakhstan</t>
  </si>
  <si>
    <t>Latvia</t>
  </si>
  <si>
    <t>Liechtenstein</t>
  </si>
  <si>
    <t>Lithuania</t>
  </si>
  <si>
    <t>Luxembourg</t>
  </si>
  <si>
    <t>Macedonia</t>
  </si>
  <si>
    <t>Malta</t>
  </si>
  <si>
    <t>Moldova</t>
  </si>
  <si>
    <t>Montenegro</t>
  </si>
  <si>
    <t>Netherlands</t>
  </si>
  <si>
    <t>Ireland</t>
  </si>
  <si>
    <t>Northern Ireland</t>
  </si>
  <si>
    <t>Norway</t>
  </si>
  <si>
    <t>Poland</t>
  </si>
  <si>
    <t>Portugal</t>
  </si>
  <si>
    <t>Irish Free State</t>
  </si>
  <si>
    <t>Republic of Ireland</t>
  </si>
  <si>
    <t>FYR Macedonia</t>
  </si>
  <si>
    <t>Romania</t>
  </si>
  <si>
    <t>Russia</t>
  </si>
  <si>
    <t>Soviet Union</t>
  </si>
  <si>
    <t>CIS</t>
  </si>
  <si>
    <t>Saar</t>
  </si>
  <si>
    <t>San Marino</t>
  </si>
  <si>
    <t>Scotland</t>
  </si>
  <si>
    <t>Slovakia</t>
  </si>
  <si>
    <t>Slovenia</t>
  </si>
  <si>
    <t>Spain</t>
  </si>
  <si>
    <t>Sweden</t>
  </si>
  <si>
    <t>Switzerland</t>
  </si>
  <si>
    <t>Turkey</t>
  </si>
  <si>
    <t>Ukraine</t>
  </si>
  <si>
    <t>Wales</t>
  </si>
  <si>
    <t>Primary Key</t>
  </si>
  <si>
    <t>CompetitionName</t>
  </si>
  <si>
    <t>CampaignPeriodValue</t>
  </si>
  <si>
    <t>CampaignPeriodType</t>
  </si>
  <si>
    <t>Premier League (Organisation)</t>
  </si>
  <si>
    <t>Football League</t>
  </si>
  <si>
    <t>1888-06-09 00:00:00</t>
  </si>
  <si>
    <t>1892-06-08 23:59:59</t>
  </si>
  <si>
    <t>Football League First Division</t>
  </si>
  <si>
    <t>1892-06-09 00:00:00</t>
  </si>
  <si>
    <t>Football League Second Division</t>
  </si>
  <si>
    <t>Football League Championship</t>
  </si>
  <si>
    <t>Football League Third Division</t>
  </si>
  <si>
    <t>Football League Third Division(North)</t>
  </si>
  <si>
    <t>Football League Third Division(South)</t>
  </si>
  <si>
    <t>League One</t>
  </si>
  <si>
    <t>Football League Fourth Division</t>
  </si>
  <si>
    <t>League Two</t>
  </si>
  <si>
    <t>Alliance Premier League</t>
  </si>
  <si>
    <t>Football Conference</t>
  </si>
  <si>
    <t>Conference National</t>
  </si>
  <si>
    <t>Scottish Premiership</t>
  </si>
  <si>
    <t>Scottish Premier League</t>
  </si>
  <si>
    <t>Scottish League Premier Division</t>
  </si>
  <si>
    <t>Scottish League First Division</t>
  </si>
  <si>
    <t>Scottish League</t>
  </si>
  <si>
    <t>1893-06-09 00:00:00</t>
  </si>
  <si>
    <t>1890-06-09 00:00:00</t>
  </si>
  <si>
    <t>1893-06-08 23:59:59</t>
  </si>
  <si>
    <t>7AB43D07-F828-4313-8B73-15A2BB777748</t>
  </si>
  <si>
    <t>D2104217-EEFE-44DD-B09C-2D94DA99714B</t>
  </si>
  <si>
    <t>6DC882B6-E0F8-4625-8207-B327FA6F6124</t>
  </si>
  <si>
    <t>0D4915E6-6723-46C3-8760-0B15BF48D43E</t>
  </si>
  <si>
    <t>65B9106F-4418-433F-9EBA-B91FB5ECA86F</t>
  </si>
  <si>
    <t>88BD6E26-1CE8-4B5A-A798-72B2C534757D</t>
  </si>
  <si>
    <t>F35F147B-3DF6-402E-B169-1DD70242B753</t>
  </si>
  <si>
    <t>9C1C564E-DFEA-4335-8AA0-D69CEDBE5677</t>
  </si>
  <si>
    <t>85C84793-E5EB-4A5F-92DF-B2C3846641CD</t>
  </si>
  <si>
    <t>AE599E04-6517-4477-AB4F-7FA638B2B179</t>
  </si>
  <si>
    <t>DC9B43BC-CE4B-465A-95DF-0C27469CCBA8</t>
  </si>
  <si>
    <t>3DA1266D-E659-4B2E-8961-02BB7D10DB3C</t>
  </si>
  <si>
    <t>F969542A-7B0E-4653-8B13-2E142404AF4A</t>
  </si>
  <si>
    <t>D483E3BA-6593-45C0-B0ED-BC8D06EB1614</t>
  </si>
  <si>
    <t>C62F6131-6BD1-4230-8D77-DD7983F8911B</t>
  </si>
  <si>
    <t>83239B57-0F7F-4EA6-BC15-B0213B0B91EC</t>
  </si>
  <si>
    <t>37BD9927-3C41-42F8-A76C-370CB8F202B9</t>
  </si>
  <si>
    <t>543B02BB-898C-449F-8038-51780A2938F2</t>
  </si>
  <si>
    <t>C8DE6FCA-0B89-44DC-B684-F9ACB20258A1</t>
  </si>
  <si>
    <t>5F0B3BE5-7F62-43BA-94CE-ACA280E1B269</t>
  </si>
  <si>
    <t>367EE563-68EB-444C-8E40-C1C2875BF63D</t>
  </si>
  <si>
    <t>6F16DC7D-23F4-4F02-864A-CB629BD5444C</t>
  </si>
  <si>
    <t>DC22E87A-7DA6-4529-8F63-3CE526A52E81</t>
  </si>
  <si>
    <t>7A216EE8-94B5-4201-AE44-5F256950E593</t>
  </si>
  <si>
    <t>73EA6921-38BF-48DB-B0FB-19FB3983E0DA</t>
  </si>
  <si>
    <t>857B78D7-3A25-4917-8D7D-E912F9AF0210</t>
  </si>
  <si>
    <t>C0DFA77B-BB7D-4951-BD7C-9CAD726C2CA1</t>
  </si>
  <si>
    <t>01E20D92-EC65-4E7B-A6E2-C073D034C201</t>
  </si>
  <si>
    <t>F5899E4D-1BEE-431A-A150-344A7024055B</t>
  </si>
  <si>
    <t>B1091380-FBA5-4A9B-8A54-198CFC682F01</t>
  </si>
  <si>
    <t>1891A2C8-8228-4456-B7E5-6B881E7CE283</t>
  </si>
  <si>
    <t>FBCD135D-96B4-48C4-A2AC-158F091BFBB3</t>
  </si>
  <si>
    <t>6F45D4A1-37C1-459D-95D1-6092448B215F</t>
  </si>
  <si>
    <t>B71BACD5-09F2-4857-98D6-BC620065468A</t>
  </si>
  <si>
    <t>A8D01246-4635-4B70-B804-C5952753E5D6</t>
  </si>
  <si>
    <t>EA56E4AE-5CA9-4CBC-9B15-A81F254B9BE6</t>
  </si>
  <si>
    <t>2A3EE82E-8BA9-47B7-8B37-C6B5F6F7FB39</t>
  </si>
  <si>
    <t>13DE66AD-985D-4941-93E9-E2E034D6C03E</t>
  </si>
  <si>
    <t>337AFC0B-5A10-4273-80A0-08BE98077B61</t>
  </si>
  <si>
    <t>82A6AC58-C330-49B7-A6C8-0DEC24BB43DD</t>
  </si>
  <si>
    <t>94F8C87D-B078-490B-914F-A6563AAC193E</t>
  </si>
  <si>
    <t>2D4BC576-AD3B-4EF2-9198-9F4384541422</t>
  </si>
  <si>
    <t>92EDA3CE-E8A0-4CD2-93EA-B3EE88833630</t>
  </si>
  <si>
    <t>E682CA0D-09C6-4605-A010-00D05AAC76F8</t>
  </si>
  <si>
    <t>915BE111-53AE-40E6-8282-857C285A408E</t>
  </si>
  <si>
    <t>E548D07F-7D08-4BBF-A004-3693B794EF28</t>
  </si>
  <si>
    <t>D671203D-FB4F-4252-A52E-702A30C02CD0</t>
  </si>
  <si>
    <t>107960CE-3176-4383-8A96-1ACB075F1585</t>
  </si>
  <si>
    <t>EDF4A065-37D9-4CFB-8912-4A1903BE67E9</t>
  </si>
  <si>
    <t>DB68DE4D-3E25-4906-922E-D900E3C8E3A0</t>
  </si>
  <si>
    <t>435D1271-61D2-4CB0-A820-92F71C67A441</t>
  </si>
  <si>
    <t>D088A090-52D6-4993-A23F-D2E3AC8EED10</t>
  </si>
  <si>
    <t>16D5F4E4-754F-4E31-B3B7-9F6CE37A82F8</t>
  </si>
  <si>
    <t>0DAEFFA9-E13F-4CC1-A991-211CBA9229AC</t>
  </si>
  <si>
    <t>C8EE9359-8CCD-4C5E-A4CD-09F5C5A89391</t>
  </si>
  <si>
    <t>E2A330FF-3152-4566-8AE9-8E3FC0034015</t>
  </si>
  <si>
    <t>5369B3C1-9715-4DF8-9B11-6E0694B02553</t>
  </si>
  <si>
    <t>3DBA7361-45B6-478F-BE86-D164AD45122C</t>
  </si>
  <si>
    <t>D5FD635E-285E-4D63-84CA-7B568B375BB4</t>
  </si>
  <si>
    <t>7069494C-DB35-4875-A545-4FAF842FF77A</t>
  </si>
  <si>
    <t>3E356F89-553A-4467-A8B6-AF0BC0673A6F</t>
  </si>
  <si>
    <t>09D52DEB-FE88-4B76-A671-6B194771CB2C</t>
  </si>
  <si>
    <t>DD746CF8-253F-4DAF-9F16-598D1DD87097</t>
  </si>
  <si>
    <t>FF6D8361-762D-4DDA-BD94-47758CDE9C2D</t>
  </si>
  <si>
    <t>68C08C77-9C66-4FD8-9ED7-552F02CC61A3</t>
  </si>
  <si>
    <t>92CC9798-2E0B-4685-B6C7-4C10E1D00703</t>
  </si>
  <si>
    <t>DB272C71-128B-41CF-88A9-9475DB2A626E</t>
  </si>
  <si>
    <t>34C82029-EF6B-477C-894A-5543B6C48685</t>
  </si>
  <si>
    <t>BB85731E-AA74-408A-82D3-03223270D6B1</t>
  </si>
  <si>
    <t>41531A85-22C4-43C6-939F-DE219B587D00</t>
  </si>
  <si>
    <t>59183B3A-6C75-453B-AE71-D35628ACD020</t>
  </si>
  <si>
    <t>147C1DCB-E872-477F-BEBA-70A774F1FD7A</t>
  </si>
  <si>
    <t>E30E8C36-215E-4874-ADE8-28C778962FAF</t>
  </si>
  <si>
    <t>2FDB87E7-429F-4889-8170-ED6A13079DFF</t>
  </si>
  <si>
    <t>99B18B4D-DC36-49ED-BD38-C11F2DA5E49C</t>
  </si>
  <si>
    <t>04016587-9489-4FAE-B42D-824211C69131</t>
  </si>
  <si>
    <t>DFDB6ABA-B0E6-4058-A730-61FD4AAAC063</t>
  </si>
  <si>
    <t>2F2DB113-05DF-493F-A5F6-0C4C1C809D01</t>
  </si>
  <si>
    <t>CBBA8635-2848-4FD0-9353-3D0F555FBB21</t>
  </si>
  <si>
    <t>57F31CAE-364D-4012-BA97-4C56141701E9</t>
  </si>
  <si>
    <t>D9925C72-05EA-4D6F-8BC1-F29A3F1802BD</t>
  </si>
  <si>
    <t>36E0F781-A5F8-4439-933A-DCE02CE7E3F8</t>
  </si>
  <si>
    <t>DBC854F1-6C41-4363-AA71-2DD1BC083E00</t>
  </si>
  <si>
    <t>EAD27A14-586C-4622-8D28-CF49967B11A5</t>
  </si>
  <si>
    <t>47C52514-81FB-453E-AE1F-A4708B322F35</t>
  </si>
  <si>
    <t>EAD0E55A-71F6-4CF2-9C5A-CED33144138D</t>
  </si>
  <si>
    <t>DD11E5BB-7613-4F4A-8582-30BB3F35FD60</t>
  </si>
  <si>
    <t>BFA50393-5904-4B36-9A7A-AC089068DCF0</t>
  </si>
  <si>
    <t>A05964E6-BF40-4554-9F89-FACD1416454E</t>
  </si>
  <si>
    <t>A7487F97-CDC7-4789-A7C8-493165ACB7C0</t>
  </si>
  <si>
    <t>EDA5AEFB-58E7-4762-B4ED-5C8236F55FFD</t>
  </si>
  <si>
    <t>3A8EBEB6-7EFD-49AD-9996-2D285DDF25E5</t>
  </si>
  <si>
    <t>C0D4ECB8-8427-49D2-A7AA-A29ABC438D07</t>
  </si>
  <si>
    <t>94FCBA04-478E-4A0D-8566-0CFEE7FFA8CD</t>
  </si>
  <si>
    <t>2450AE00-2E42-4450-B512-FF74DDD42ADA</t>
  </si>
  <si>
    <t>2345BC4A-77B4-462A-B677-80F9A7A8C681</t>
  </si>
  <si>
    <t>069D7B41-365F-4CAF-9AAD-09C1CE642F03</t>
  </si>
  <si>
    <t>6A51AA05-6901-4160-9388-1AAE8C0741CD</t>
  </si>
  <si>
    <t>EA3892BA-F552-41D9-AEDA-7CEC48F382E0</t>
  </si>
  <si>
    <t>8E726995-6815-4D60-829C-EB0E1A289165</t>
  </si>
  <si>
    <t>80A9D9C4-02BB-4C7C-A855-A2EAC07BBD0E</t>
  </si>
  <si>
    <t>0E3E70E7-B776-4864-9D32-51CC8FE44EF2</t>
  </si>
  <si>
    <t>E999A588-C094-4BCC-A13E-D4F9D4664E46</t>
  </si>
  <si>
    <t>A8766CFD-EA1A-4FD6-8B9D-6FFD4A28AD15</t>
  </si>
  <si>
    <t>C2C23AA6-AF81-4747-BEE1-445C6E55EAE0</t>
  </si>
  <si>
    <t>93E9B7DF-8564-41BD-B2BC-BAA39BFADDD2</t>
  </si>
  <si>
    <t>497B1C55-DD0E-4CE1-801B-130DC8197035</t>
  </si>
  <si>
    <t>A6843C90-E68F-400D-B85A-4363847B4596</t>
  </si>
  <si>
    <t>7631226E-AF22-416C-8F18-50776176FD52</t>
  </si>
  <si>
    <t>3B4A54C4-BB4B-4F83-A60C-AFE4467BD319</t>
  </si>
  <si>
    <t>B9889B55-CB7C-438F-8B69-6413B7E9A794</t>
  </si>
  <si>
    <t>53E5ED11-6057-4C3B-A9C2-23B629D2E319</t>
  </si>
  <si>
    <t>8E21EC1C-8CCA-459C-997E-588949562E01</t>
  </si>
  <si>
    <t>F15CEDAD-B873-4A2B-9AED-12A5AEFA31A8</t>
  </si>
  <si>
    <t>B562B0CB-674D-41F1-A0FD-733A0793E36A</t>
  </si>
  <si>
    <t>9E788827-2552-4294-9ABF-42C0D4431932</t>
  </si>
  <si>
    <t>2AAF79FE-58EF-4158-AFA9-5C0AAB2CA75C</t>
  </si>
  <si>
    <t>42BF2618-1A6D-48C4-98B7-7AC0B5BD2AF4</t>
  </si>
  <si>
    <t>2F2ED841-94A3-4138-8628-AA597C709BF8</t>
  </si>
  <si>
    <t>3EA4A71A-3E8B-4EC4-969A-F23FD270BCC3</t>
  </si>
  <si>
    <t>79741D80-A4EC-4262-B296-E31510756B48</t>
  </si>
  <si>
    <t>C7F59684-41CD-4ED2-A875-DC0565F09603</t>
  </si>
  <si>
    <t>21626B23-6B2D-41A4-B214-D3F451ACACEB</t>
  </si>
  <si>
    <t>0406BE28-D193-4F22-AA6E-9D2085C99444</t>
  </si>
  <si>
    <t>548DF50A-E390-408A-AE8C-B3AA95F23874</t>
  </si>
  <si>
    <t>5DC59B85-45AD-425C-8BBA-3F7013AA7A2B</t>
  </si>
  <si>
    <t>0A683E2E-3029-4BCD-B7D8-F6C3D6CA2CF7</t>
  </si>
  <si>
    <t>AFAF6E7A-51FC-4930-80F0-37FBA044E674</t>
  </si>
  <si>
    <t>AE4DBD7F-6709-4296-91A5-0AAF612BB6DA</t>
  </si>
  <si>
    <t>E762A003-CE42-4A2D-A902-771B3E11351F</t>
  </si>
  <si>
    <t>DED65635-D24C-46FA-888A-E720FC1BB2FF</t>
  </si>
  <si>
    <t>54D25D40-4F7D-4F17-8373-8014D1690C76</t>
  </si>
  <si>
    <t>F235C4EB-B700-4B63-AB1A-36B02667DBA7</t>
  </si>
  <si>
    <t>41D7044C-0B4C-41D2-A733-85332EE47218</t>
  </si>
  <si>
    <t>1CC5606E-0BEE-41E4-BDC3-1E27B0C5EFB2</t>
  </si>
  <si>
    <t>F8A4480D-4E06-427B-BF23-6D694332B67B</t>
  </si>
  <si>
    <t>3B5EB3B2-16AD-4606-8D44-64EC9B85A283</t>
  </si>
  <si>
    <t>6CCC9FAF-B036-4925-A1F2-A453BB948220</t>
  </si>
  <si>
    <t>8910C3F2-9B6B-4C46-8919-84DD86936AD5</t>
  </si>
  <si>
    <t>801B4B08-F311-4E1C-8288-1B29218148D6</t>
  </si>
  <si>
    <t>8786C923-F361-405A-A468-810A8D145040</t>
  </si>
  <si>
    <t>E193BCA9-46B9-46A7-A0A9-B2525623051E</t>
  </si>
  <si>
    <t>430FB5EA-DCD7-460F-B512-08825A46ACBF</t>
  </si>
  <si>
    <t>64E29EE7-70BC-44D1-B7C5-A3B7884C0BC8</t>
  </si>
  <si>
    <t>6F43D628-E40B-4F7F-B2BF-DC14E0C1C35E</t>
  </si>
  <si>
    <t>7C9AEB9E-C5B7-4459-81F3-9790E7BE9EA8</t>
  </si>
  <si>
    <t>C9CE650F-A40B-441E-A57F-655436D429D5</t>
  </si>
  <si>
    <t>7847C78E-ACAE-4820-9E01-464047C7E47B</t>
  </si>
  <si>
    <t>C8D31AB4-DDC2-4162-B5E8-F7C308308FCE</t>
  </si>
  <si>
    <t>A84FEF10-9A39-4E04-BC8D-C262B2FB93A7</t>
  </si>
  <si>
    <t>0C445F0F-A541-48E0-92C4-B2F2C2E9AAD5</t>
  </si>
  <si>
    <t>2E44D59D-DAAB-48A0-949A-84DDBC711F63</t>
  </si>
  <si>
    <t>B6DE6B61-3229-4C8E-89A1-73A6CFF7C3F8</t>
  </si>
  <si>
    <t>9B1E026D-76DB-41E4-AEBA-993EAD5793BF</t>
  </si>
  <si>
    <t>CC52B61D-DA82-4EFE-8E87-D246B01FB630</t>
  </si>
  <si>
    <t>C794593F-4A35-45C2-A556-AB3449C26E3A</t>
  </si>
  <si>
    <t>41B010F3-1E21-4517-804D-D975D26E5817</t>
  </si>
  <si>
    <t>D2AA3253-7518-4F2B-8000-0596BA8B753B</t>
  </si>
  <si>
    <t>E9EE4472-633F-4D22-BFB5-D890857D2402</t>
  </si>
  <si>
    <t>98CA9876-AE99-4F63-BC96-5ECE51791417</t>
  </si>
  <si>
    <t>F8D6B143-A43F-4BE5-83E6-D0102C3CB16B</t>
  </si>
  <si>
    <t>86FB56DB-25D9-4011-9843-AD04722F4B7D</t>
  </si>
  <si>
    <t>F2159552-3908-42E4-8C84-A5EA2D4010C3</t>
  </si>
  <si>
    <t>98482AAE-E33F-4DF7-B156-EACC13198478</t>
  </si>
  <si>
    <t>1489EF3E-4D6F-4DD8-A526-2A5B8F2F0F56</t>
  </si>
  <si>
    <t>DF8A0E07-2F44-4F6F-BD9C-91D666B08B33</t>
  </si>
  <si>
    <t>4A358FC9-79EF-4D48-B66D-CEBA3750A248</t>
  </si>
  <si>
    <t>7926F202-AFB0-4FEB-9F83-70C554BDE781</t>
  </si>
  <si>
    <t>3DAA302E-2C4A-4540-A48C-210FB0BF8732</t>
  </si>
  <si>
    <t>38C7FC2D-BC24-449B-853E-337983437B77</t>
  </si>
  <si>
    <t>F85D271D-11A6-40FE-9615-216F27DB79DC</t>
  </si>
  <si>
    <t>F4B5C425-917F-4E0A-A7C8-E1F2AB096FDF</t>
  </si>
  <si>
    <t>CD79DBA6-4DE6-4268-AB4F-B3423E19453D</t>
  </si>
  <si>
    <t>E23BB87D-CF04-41F2-95F2-F112CF187CF3</t>
  </si>
  <si>
    <t>96E345BB-73DA-4423-A3C4-5DE4048AB824</t>
  </si>
  <si>
    <t>A8811D0C-BB13-49AB-8B11-B21F0377C1E6</t>
  </si>
  <si>
    <t>92A01552-890E-459C-B5CB-58D22C16C28E</t>
  </si>
  <si>
    <t>1EA100FF-8494-492A-9A9A-ABC411030724</t>
  </si>
  <si>
    <t>1D191E4F-3064-4283-AC09-D663A56DACAF</t>
  </si>
  <si>
    <t>8DD1C8A8-31CF-429E-96DD-FD20349E379C</t>
  </si>
  <si>
    <t>CAAC0268-BC28-4AEA-A080-06F92648102A</t>
  </si>
  <si>
    <t>30DD23A4-8A35-4184-B598-55BCA4EDEB29</t>
  </si>
  <si>
    <t>76989FE1-9515-4F93-8B50-993311EFBDE2</t>
  </si>
  <si>
    <t>09DEDDFD-8711-4B4A-81D1-A23EDF63BFA5</t>
  </si>
  <si>
    <t>00428AFA-2E4B-4451-A3EC-9AAD23CFB311</t>
  </si>
  <si>
    <t>C5496CE7-867C-4996-82C4-DE80A1410C0C</t>
  </si>
  <si>
    <t>2D89C345-7691-4503-A57B-42418C389142</t>
  </si>
  <si>
    <t>675E7335-34B1-42ED-8C67-833A14E27912</t>
  </si>
  <si>
    <t>9A9E9CC5-D780-43CC-9EC4-0CFDC9FA0FB5</t>
  </si>
  <si>
    <t>169357CF-6C66-49F3-B0CB-FEE93FF1B9A6</t>
  </si>
  <si>
    <t>77B285D3-131D-41DF-AB52-31E6074E3D67</t>
  </si>
  <si>
    <t>5B4403ED-EFC1-4920-B7F2-66B64E0FA24D</t>
  </si>
  <si>
    <t>DF87D64F-F9C6-4553-826A-F79B9AEE2500</t>
  </si>
  <si>
    <t>59E2F177-405B-49FA-92A9-9C304C0C3595</t>
  </si>
  <si>
    <t>6C53D44A-F89B-47A8-A600-253F21F007AD</t>
  </si>
  <si>
    <t>E2CC36DB-2518-4E8C-BD10-3EF420C672CC</t>
  </si>
  <si>
    <t>033C8CDF-3203-41A6-9122-7C45713CEE00</t>
  </si>
  <si>
    <t>C018F632-742F-4C5F-BEDB-52DDEDE73E28</t>
  </si>
  <si>
    <t>627947CA-A6C4-4A52-AE2C-FE9FF524DEBB</t>
  </si>
  <si>
    <t>55AC3E74-C68E-426E-901E-7F7D27D7CCF2</t>
  </si>
  <si>
    <t>FFD97CC5-F887-4C2A-90BA-60A9B1BC6B9D</t>
  </si>
  <si>
    <t>7FAF84E6-CF31-4615-BE78-D9CDE402AA86</t>
  </si>
  <si>
    <t>646B5EA1-C5EE-4F5A-BB47-ED49FEEC1635</t>
  </si>
  <si>
    <t>C0DB8008-9201-4315-A686-FB8C4764248E</t>
  </si>
  <si>
    <t>80E0B5C9-8D4B-450B-9866-D5D1899E4BB3</t>
  </si>
  <si>
    <t>AF3C1345-178C-4A80-9ADD-810B5F4A170D</t>
  </si>
  <si>
    <t>6BE78D57-BA5F-4F4D-BD3A-60BC7E6CADE7</t>
  </si>
  <si>
    <t>6577E754-1B41-4EBA-A72A-B37A56CD0471</t>
  </si>
  <si>
    <t>526F9CC3-43C6-44E3-9DDA-FC45EBFD35FB</t>
  </si>
  <si>
    <t>DBCB9B92-A7E4-4DDF-A8DB-E72F72F7B780</t>
  </si>
  <si>
    <t>4EAF8B42-2677-4BB2-8962-7E7DFBD37967</t>
  </si>
  <si>
    <t>DEF30068-CD49-4FD4-934D-3D88EA853738</t>
  </si>
  <si>
    <t>FD8D31A2-6E65-46D2-83E6-FD53F425CB14</t>
  </si>
  <si>
    <t>ED3EC93F-178F-47BB-B78C-10B86426068A</t>
  </si>
  <si>
    <t>FC5A6F04-43EA-4EA7-B796-7360F33DFE49</t>
  </si>
  <si>
    <t>B5A4AF8E-C9C3-4FF5-9958-E41E15A5EC75</t>
  </si>
  <si>
    <t>FCDD5958-3E66-45B5-865E-6D244BA5D0CA</t>
  </si>
  <si>
    <t>F4BD4D7A-17CF-4F2C-B64E-6DF2B5433B47</t>
  </si>
  <si>
    <t>ECF793E9-AC43-42A6-9BF9-863859D3BE26</t>
  </si>
  <si>
    <t>1498888A-D9D7-46B5-88DC-5DF9BD22DB07</t>
  </si>
  <si>
    <t>A095B1FF-1DAD-4DD5-9D17-9FE61CF06C20</t>
  </si>
  <si>
    <t>3A5D1BC3-9234-4CA3-B0CB-4A0F1AB92CF9</t>
  </si>
  <si>
    <t>7CBDBBC0-3397-40AD-B142-C67D1BB8C4A8</t>
  </si>
  <si>
    <t>44F1CE23-E946-4572-B609-10F8A7B843AF</t>
  </si>
  <si>
    <t>2F22F735-9ECF-4731-94EE-CA5C0D2F0E27</t>
  </si>
  <si>
    <t>11B7D9D6-C28A-477B-AE76-706767295D6E</t>
  </si>
  <si>
    <t>4D884F8A-40A4-419B-AD23-042306AA0567</t>
  </si>
  <si>
    <t>6DCF72FB-A13D-483C-83B4-65C6AE9D2A91</t>
  </si>
  <si>
    <t>C36B20B8-8458-478C-AF53-88D540DE7CD7</t>
  </si>
  <si>
    <t>139709D5-644C-4457-AF67-077383701BB5</t>
  </si>
  <si>
    <t>30D8D54A-FD2B-4683-81F1-FF1359BE60A7</t>
  </si>
  <si>
    <t>E7124763-0241-4DD0-A5DF-E5800C966908</t>
  </si>
  <si>
    <t>57861CBE-CC15-4892-8616-EC63B931377C</t>
  </si>
  <si>
    <t>45EA677A-1D4C-4713-A174-6BA6CBC46383</t>
  </si>
  <si>
    <t>2A561445-3D93-463F-9381-5A2213D08A1F</t>
  </si>
  <si>
    <t>715EAB6E-A5BA-43F1-8A77-E9CBF872005E</t>
  </si>
  <si>
    <t>CB3D5D60-8FA8-400B-BB5B-75613552AADA</t>
  </si>
  <si>
    <t>1CDD6867-A322-413E-892C-514594D718FD</t>
  </si>
  <si>
    <t>64AEC4EB-B7CD-4660-916E-A6E7C3E4A969</t>
  </si>
  <si>
    <t>21C6F890-1EF1-4078-B97E-A1315ECDFA43</t>
  </si>
  <si>
    <t>D8D7B16F-BAB9-4A1B-8C61-3C5B7CAA6D45</t>
  </si>
  <si>
    <t>34ABED8D-B06C-4522-864C-E7B6AE7832FC</t>
  </si>
  <si>
    <t>5F15D4EA-8A04-49FF-A230-8C1B3C2C725C</t>
  </si>
  <si>
    <t>10CEB230-A8D1-47C4-88EB-C3B34B25DC37</t>
  </si>
  <si>
    <t>0FCD5BBE-48E6-4117-B61B-D401F7728AB7</t>
  </si>
  <si>
    <t>9502CFB5-9578-4A8E-AEE6-2CB184A6D618</t>
  </si>
  <si>
    <t>39447E34-2DAF-40D0-8CBB-1A5C936C723A</t>
  </si>
  <si>
    <t>2FC8716F-37AD-443C-AA10-A60B032714D1</t>
  </si>
  <si>
    <t>5DDCC995-5366-4838-951D-917483CE6B9A</t>
  </si>
  <si>
    <t>705E2255-4311-483B-AEEE-909298393B0C</t>
  </si>
  <si>
    <t>A5B763EF-EB9A-4CEB-BFA4-DDBBD7EA9D9A</t>
  </si>
  <si>
    <t>6E827022-002E-4CEE-A0D0-BA69CE1D3B84</t>
  </si>
  <si>
    <t>18615B9B-4EB4-4190-AD02-9235A09FEFE7</t>
  </si>
  <si>
    <t>F0F4E1B6-5D58-4D2E-A1C9-AC7CB928BA2E</t>
  </si>
  <si>
    <t>262CE077-D4EB-4D10-98C8-5DFFC1A0BDCF</t>
  </si>
  <si>
    <t>F7F8F378-7CDF-4E1C-87DF-655A367D57C1</t>
  </si>
  <si>
    <t>FCF39C98-DEB4-433F-B70A-8EF1F6BA85C8</t>
  </si>
  <si>
    <t>EC080526-B223-4C28-84E6-C058A8B2F4F6</t>
  </si>
  <si>
    <t>27478A48-5119-4241-9438-220B6FE951A0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</si>
</sst>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\ hh:mm:ss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">
    <xf numFmtId="0" fontId="0" fillId="0" borderId="0" xfId="0"/>
    <xf numFmtId="0" fontId="1" fillId="0" borderId="0" xfId="0" applyFont="1"/>
    <xf numFmtId="164" fontId="0" fillId="0" borderId="0" xfId="0" applyNumberFormat="1"/>
    <xf numFmtId="164" fontId="0" fillId="0" borderId="0" xfId="0" applyNumberFormat="1" applyAlignment="1">
      <alignment horizontal="left"/>
    </xf>
    <xf numFmtId="164" fontId="1" fillId="0" borderId="0" xfId="0" applyNumberFormat="1" applyFont="1"/>
    <xf numFmtId="0" fontId="0" fillId="0" borderId="0" xfId="0" quotePrefix="1"/>
    <xf numFmtId="164" fontId="0" fillId="0" borderId="0" xfId="0" quotePrefix="1" applyNumberFormat="1" applyAlignment="1">
      <alignment horizontal="left"/>
    </xf>
    <xf numFmtId="0" fontId="2" fillId="0" borderId="0" xfId="1" quotePrefix="1"/>
    <xf numFmtId="164" fontId="1" fillId="0" borderId="0" xfId="0" applyNumberFormat="1" applyFont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administrator@footballoracle.co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4"/>
  <sheetViews>
    <sheetView workbookViewId="0">
      <selection activeCell="B12" sqref="B12"/>
    </sheetView>
  </sheetViews>
  <sheetFormatPr defaultRowHeight="15" x14ac:dyDescent="0.25"/>
  <cols>
    <col min="1" max="1" width="8.85546875" bestFit="1" customWidth="1"/>
    <col min="2" max="2" width="33.28515625" bestFit="1" customWidth="1"/>
  </cols>
  <sheetData>
    <row r="1" spans="1:2" x14ac:dyDescent="0.25">
      <c r="A1" t="s">
        <v>4</v>
      </c>
      <c r="B1" s="6" t="s">
        <v>59</v>
      </c>
    </row>
    <row r="2" spans="1:2" x14ac:dyDescent="0.25">
      <c r="A2" t="s">
        <v>3</v>
      </c>
      <c r="B2" s="6" t="s">
        <v>23</v>
      </c>
    </row>
    <row r="4" spans="1:2" x14ac:dyDescent="0.25">
      <c r="A4" t="s">
        <v>5</v>
      </c>
      <c r="B4" s="7" t="s">
        <v>24</v>
      </c>
    </row>
  </sheetData>
  <sortState ref="A1:B2">
    <sortCondition ref="A1"/>
  </sortState>
  <hyperlinks>
    <hyperlink ref="B4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4"/>
  <sheetViews>
    <sheetView workbookViewId="0">
      <selection activeCell="A2" sqref="A2"/>
    </sheetView>
  </sheetViews>
  <sheetFormatPr defaultRowHeight="15" x14ac:dyDescent="0.25"/>
  <cols>
    <col min="1" max="1" width="39.42578125" bestFit="1" customWidth="1"/>
  </cols>
  <sheetData>
    <row r="1" spans="1:1" s="1" customFormat="1" x14ac:dyDescent="0.25">
      <c r="A1" s="1" t="s">
        <v>337</v>
      </c>
    </row>
    <row r="2" spans="1:1" x14ac:dyDescent="0.25">
      <c r="A2" t="s">
        <v>366</v>
      </c>
    </row>
    <row r="3" spans="1:1" x14ac:dyDescent="0.25">
      <c r="A3" t="s">
        <v>367</v>
      </c>
    </row>
    <row r="4" spans="1:1" x14ac:dyDescent="0.25">
      <c r="A4" t="s">
        <v>368</v>
      </c>
    </row>
    <row r="5" spans="1:1" x14ac:dyDescent="0.25">
      <c r="A5" t="s">
        <v>369</v>
      </c>
    </row>
    <row r="6" spans="1:1" x14ac:dyDescent="0.25">
      <c r="A6" t="s">
        <v>370</v>
      </c>
    </row>
    <row r="7" spans="1:1" x14ac:dyDescent="0.25">
      <c r="A7" t="s">
        <v>371</v>
      </c>
    </row>
    <row r="8" spans="1:1" x14ac:dyDescent="0.25">
      <c r="A8" t="s">
        <v>372</v>
      </c>
    </row>
    <row r="9" spans="1:1" x14ac:dyDescent="0.25">
      <c r="A9" t="s">
        <v>373</v>
      </c>
    </row>
    <row r="10" spans="1:1" x14ac:dyDescent="0.25">
      <c r="A10" t="s">
        <v>374</v>
      </c>
    </row>
    <row r="11" spans="1:1" x14ac:dyDescent="0.25">
      <c r="A11" t="s">
        <v>375</v>
      </c>
    </row>
    <row r="12" spans="1:1" x14ac:dyDescent="0.25">
      <c r="A12" t="s">
        <v>376</v>
      </c>
    </row>
    <row r="13" spans="1:1" x14ac:dyDescent="0.25">
      <c r="A13" t="s">
        <v>377</v>
      </c>
    </row>
    <row r="14" spans="1:1" x14ac:dyDescent="0.25">
      <c r="A14" t="s">
        <v>378</v>
      </c>
    </row>
    <row r="15" spans="1:1" x14ac:dyDescent="0.25">
      <c r="A15" t="s">
        <v>379</v>
      </c>
    </row>
    <row r="16" spans="1:1" x14ac:dyDescent="0.25">
      <c r="A16" t="s">
        <v>380</v>
      </c>
    </row>
    <row r="17" spans="1:1" x14ac:dyDescent="0.25">
      <c r="A17" t="s">
        <v>381</v>
      </c>
    </row>
    <row r="18" spans="1:1" x14ac:dyDescent="0.25">
      <c r="A18" t="s">
        <v>382</v>
      </c>
    </row>
    <row r="19" spans="1:1" x14ac:dyDescent="0.25">
      <c r="A19" t="s">
        <v>383</v>
      </c>
    </row>
    <row r="20" spans="1:1" x14ac:dyDescent="0.25">
      <c r="A20" t="s">
        <v>384</v>
      </c>
    </row>
    <row r="21" spans="1:1" x14ac:dyDescent="0.25">
      <c r="A21" t="s">
        <v>385</v>
      </c>
    </row>
    <row r="22" spans="1:1" x14ac:dyDescent="0.25">
      <c r="A22" t="s">
        <v>386</v>
      </c>
    </row>
    <row r="23" spans="1:1" x14ac:dyDescent="0.25">
      <c r="A23" t="s">
        <v>387</v>
      </c>
    </row>
    <row r="24" spans="1:1" x14ac:dyDescent="0.25">
      <c r="A24" t="s">
        <v>388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4"/>
  <sheetViews>
    <sheetView workbookViewId="0">
      <selection activeCell="F24" sqref="F24"/>
    </sheetView>
  </sheetViews>
  <sheetFormatPr defaultRowHeight="15" x14ac:dyDescent="0.25"/>
  <cols>
    <col min="1" max="1" width="39.7109375" bestFit="1" customWidth="1"/>
    <col min="2" max="2" width="39.42578125" bestFit="1" customWidth="1"/>
    <col min="3" max="3" width="26.85546875" bestFit="1" customWidth="1"/>
    <col min="4" max="4" width="71.5703125" bestFit="1" customWidth="1"/>
    <col min="5" max="6" width="39.140625" bestFit="1" customWidth="1"/>
    <col min="7" max="7" width="12.42578125" bestFit="1" customWidth="1"/>
    <col min="8" max="8" width="18.28515625" style="2" bestFit="1" customWidth="1"/>
    <col min="9" max="9" width="18.7109375" style="2" bestFit="1" customWidth="1"/>
    <col min="10" max="10" width="20.140625" bestFit="1" customWidth="1"/>
    <col min="11" max="11" width="8" bestFit="1" customWidth="1"/>
    <col min="12" max="12" width="33.28515625" bestFit="1" customWidth="1"/>
    <col min="13" max="13" width="18.28515625" style="2" bestFit="1" customWidth="1"/>
    <col min="14" max="14" width="33.28515625" bestFit="1" customWidth="1"/>
    <col min="15" max="15" width="18.28515625" style="2" bestFit="1" customWidth="1"/>
  </cols>
  <sheetData>
    <row r="1" spans="1:15" s="1" customFormat="1" x14ac:dyDescent="0.25">
      <c r="A1" s="1" t="s">
        <v>8</v>
      </c>
      <c r="B1" s="1" t="s">
        <v>9</v>
      </c>
      <c r="C1" s="1" t="s">
        <v>10</v>
      </c>
      <c r="D1" s="1" t="s">
        <v>11</v>
      </c>
      <c r="E1" s="1" t="s">
        <v>12</v>
      </c>
      <c r="F1" s="1" t="s">
        <v>13</v>
      </c>
      <c r="G1" s="1" t="s">
        <v>14</v>
      </c>
      <c r="H1" s="4" t="s">
        <v>15</v>
      </c>
      <c r="I1" s="4" t="s">
        <v>16</v>
      </c>
      <c r="J1" s="1" t="s">
        <v>17</v>
      </c>
      <c r="K1" s="1" t="s">
        <v>18</v>
      </c>
      <c r="L1" s="1" t="s">
        <v>19</v>
      </c>
      <c r="M1" s="4" t="s">
        <v>20</v>
      </c>
      <c r="N1" s="1" t="s">
        <v>21</v>
      </c>
      <c r="O1" s="4" t="s">
        <v>22</v>
      </c>
    </row>
    <row r="2" spans="1:15" x14ac:dyDescent="0.25">
      <c r="A2" t="str">
        <f>GetGuid()</f>
        <v>5C35B8E2-A677-4DBF-9523-22DDEB0EDDD5</v>
      </c>
      <c r="B2" t="str">
        <f>Organisation!A2</f>
        <v>7AB43D07-F828-4313-8B73-15A2BB777748</v>
      </c>
      <c r="C2" s="5" t="s">
        <v>0</v>
      </c>
      <c r="D2" s="5" t="s">
        <v>1</v>
      </c>
      <c r="E2" t="s">
        <v>2</v>
      </c>
      <c r="F2" t="s">
        <v>2</v>
      </c>
      <c r="G2" t="s">
        <v>2</v>
      </c>
      <c r="H2" s="2" t="str">
        <f t="shared" ref="H2:H24" si="0">VLOOKUP("lowdate",DateConstants,2)</f>
        <v>1850-01-01 00:00:00</v>
      </c>
      <c r="I2" s="2" t="str">
        <f t="shared" ref="I2:I24" si="1">VLOOKUP("highdate",DateConstants,2)</f>
        <v>2999-12-31  23:59:59</v>
      </c>
      <c r="J2" s="5" t="s">
        <v>25</v>
      </c>
      <c r="K2" s="5" t="s">
        <v>26</v>
      </c>
      <c r="L2" t="str">
        <f>Constants!$B$4</f>
        <v>administrator@footballoracle.co.uk</v>
      </c>
      <c r="M2" s="2" t="str">
        <f ca="1">TEXT(NOW(), "yyyy-MM-dd hh:mm:ss")</f>
        <v>2014-08-22 08:22:04</v>
      </c>
      <c r="N2" t="str">
        <f>L2</f>
        <v>administrator@footballoracle.co.uk</v>
      </c>
      <c r="O2" s="2" t="str">
        <f t="shared" ref="O2:O24" ca="1" si="2">TEXT(NOW(), "yyyy-MM-dd hh:mm:ss")</f>
        <v>2014-08-22 08:22:04</v>
      </c>
    </row>
    <row r="3" spans="1:15" x14ac:dyDescent="0.25">
      <c r="A3" t="str">
        <f t="shared" ref="A3:A24" si="3">GetGuid()</f>
        <v>76FCCC07-864B-4047-98DC-D43A922C67D4</v>
      </c>
      <c r="B3" t="str">
        <f>Organisation!A3</f>
        <v>D2104217-EEFE-44DD-B09C-2D94DA99714B</v>
      </c>
      <c r="C3" t="s">
        <v>6</v>
      </c>
      <c r="D3" s="5" t="s">
        <v>7</v>
      </c>
      <c r="E3" t="str">
        <f>B$2</f>
        <v>7AB43D07-F828-4313-8B73-15A2BB777748</v>
      </c>
      <c r="F3" t="s">
        <v>2</v>
      </c>
      <c r="G3" t="s">
        <v>2</v>
      </c>
      <c r="H3" s="2" t="str">
        <f t="shared" si="0"/>
        <v>1850-01-01 00:00:00</v>
      </c>
      <c r="I3" s="2" t="str">
        <f t="shared" si="1"/>
        <v>2999-12-31  23:59:59</v>
      </c>
      <c r="J3" s="5" t="s">
        <v>25</v>
      </c>
      <c r="K3" s="5" t="s">
        <v>26</v>
      </c>
      <c r="L3" t="str">
        <f>Constants!$B$4</f>
        <v>administrator@footballoracle.co.uk</v>
      </c>
      <c r="M3" s="2" t="str">
        <f t="shared" ref="M3:M24" ca="1" si="4">TEXT(NOW(), "yyyy-MM-dd hh:mm:ss")</f>
        <v>2014-08-22 08:22:04</v>
      </c>
      <c r="N3" t="str">
        <f t="shared" ref="N3:N4" si="5">L3</f>
        <v>administrator@footballoracle.co.uk</v>
      </c>
      <c r="O3" s="2" t="str">
        <f t="shared" ca="1" si="2"/>
        <v>2014-08-22 08:22:04</v>
      </c>
    </row>
    <row r="4" spans="1:15" x14ac:dyDescent="0.25">
      <c r="A4" t="str">
        <f t="shared" si="3"/>
        <v>B049C4C3-92FF-464E-9F25-33177B346DE3</v>
      </c>
      <c r="B4" t="str">
        <f>Organisation!A4</f>
        <v>6DC882B6-E0F8-4625-8207-B327FA6F6124</v>
      </c>
      <c r="C4" s="5" t="s">
        <v>32</v>
      </c>
      <c r="D4" s="5" t="s">
        <v>52</v>
      </c>
      <c r="E4" t="str">
        <f>B3</f>
        <v>D2104217-EEFE-44DD-B09C-2D94DA99714B</v>
      </c>
      <c r="F4" t="s">
        <v>2</v>
      </c>
      <c r="G4" t="s">
        <v>2</v>
      </c>
      <c r="H4" s="2" t="str">
        <f t="shared" si="0"/>
        <v>1850-01-01 00:00:00</v>
      </c>
      <c r="I4" s="2" t="str">
        <f t="shared" si="1"/>
        <v>2999-12-31  23:59:59</v>
      </c>
      <c r="J4" s="5" t="s">
        <v>25</v>
      </c>
      <c r="K4" s="5" t="s">
        <v>26</v>
      </c>
      <c r="L4" t="str">
        <f>Constants!$B$4</f>
        <v>administrator@footballoracle.co.uk</v>
      </c>
      <c r="M4" s="2" t="str">
        <f t="shared" ca="1" si="4"/>
        <v>2014-08-22 08:22:04</v>
      </c>
      <c r="N4" t="str">
        <f t="shared" si="5"/>
        <v>administrator@footballoracle.co.uk</v>
      </c>
      <c r="O4" s="2" t="str">
        <f t="shared" ca="1" si="2"/>
        <v>2014-08-22 08:22:04</v>
      </c>
    </row>
    <row r="5" spans="1:15" x14ac:dyDescent="0.25">
      <c r="A5" t="str">
        <f t="shared" si="3"/>
        <v>1E5FB16B-2911-48DD-AA94-457F59AFA9AC</v>
      </c>
      <c r="B5" t="str">
        <f>Organisation!A5</f>
        <v>0D4915E6-6723-46C3-8760-0B15BF48D43E</v>
      </c>
      <c r="C5" s="5" t="s">
        <v>33</v>
      </c>
      <c r="D5" s="5" t="s">
        <v>53</v>
      </c>
      <c r="E5" t="str">
        <f>B3</f>
        <v>D2104217-EEFE-44DD-B09C-2D94DA99714B</v>
      </c>
      <c r="F5" t="s">
        <v>2</v>
      </c>
      <c r="G5" t="s">
        <v>2</v>
      </c>
      <c r="H5" s="2" t="str">
        <f t="shared" si="0"/>
        <v>1850-01-01 00:00:00</v>
      </c>
      <c r="I5" s="2" t="str">
        <f t="shared" si="1"/>
        <v>2999-12-31  23:59:59</v>
      </c>
      <c r="J5" s="5" t="s">
        <v>25</v>
      </c>
      <c r="K5" s="5" t="s">
        <v>26</v>
      </c>
      <c r="L5" t="str">
        <f>Constants!$B$4</f>
        <v>administrator@footballoracle.co.uk</v>
      </c>
      <c r="M5" s="2" t="str">
        <f t="shared" ca="1" si="4"/>
        <v>2014-08-22 08:22:04</v>
      </c>
      <c r="N5" t="str">
        <f t="shared" ref="N5" si="6">L5</f>
        <v>administrator@footballoracle.co.uk</v>
      </c>
      <c r="O5" s="2" t="str">
        <f t="shared" ca="1" si="2"/>
        <v>2014-08-22 08:22:04</v>
      </c>
    </row>
    <row r="6" spans="1:15" x14ac:dyDescent="0.25">
      <c r="A6" t="str">
        <f t="shared" si="3"/>
        <v>E4624700-EC48-4570-80D5-FEDEAA1B8E35</v>
      </c>
      <c r="B6" t="str">
        <f>Organisation!A6</f>
        <v>65B9106F-4418-433F-9EBA-B91FB5ECA86F</v>
      </c>
      <c r="C6" s="5" t="s">
        <v>31</v>
      </c>
      <c r="D6" s="5" t="s">
        <v>54</v>
      </c>
      <c r="E6" t="str">
        <f>B3</f>
        <v>D2104217-EEFE-44DD-B09C-2D94DA99714B</v>
      </c>
      <c r="F6" t="s">
        <v>2</v>
      </c>
      <c r="G6" t="s">
        <v>2</v>
      </c>
      <c r="H6" s="2" t="str">
        <f t="shared" si="0"/>
        <v>1850-01-01 00:00:00</v>
      </c>
      <c r="I6" s="2" t="str">
        <f t="shared" si="1"/>
        <v>2999-12-31  23:59:59</v>
      </c>
      <c r="J6" s="5" t="s">
        <v>25</v>
      </c>
      <c r="K6" s="5" t="s">
        <v>26</v>
      </c>
      <c r="L6" t="str">
        <f>Constants!$B$4</f>
        <v>administrator@footballoracle.co.uk</v>
      </c>
      <c r="M6" s="2" t="str">
        <f t="shared" ca="1" si="4"/>
        <v>2014-08-22 08:22:04</v>
      </c>
      <c r="N6" t="str">
        <f t="shared" ref="N6" si="7">L6</f>
        <v>administrator@footballoracle.co.uk</v>
      </c>
      <c r="O6" s="2" t="str">
        <f t="shared" ca="1" si="2"/>
        <v>2014-08-22 08:22:04</v>
      </c>
    </row>
    <row r="7" spans="1:15" x14ac:dyDescent="0.25">
      <c r="A7" t="str">
        <f t="shared" si="3"/>
        <v>BD4AFD9C-BE4F-4E03-94CE-C2F2029DDE60</v>
      </c>
      <c r="B7" t="str">
        <f>Organisation!A7</f>
        <v>88BD6E26-1CE8-4B5A-A798-72B2C534757D</v>
      </c>
      <c r="C7" s="5" t="s">
        <v>34</v>
      </c>
      <c r="D7" s="5" t="s">
        <v>55</v>
      </c>
      <c r="E7" t="str">
        <f>B4</f>
        <v>6DC882B6-E0F8-4625-8207-B327FA6F6124</v>
      </c>
      <c r="F7" t="s">
        <v>2</v>
      </c>
      <c r="G7" t="s">
        <v>2</v>
      </c>
      <c r="H7" s="2" t="str">
        <f t="shared" si="0"/>
        <v>1850-01-01 00:00:00</v>
      </c>
      <c r="I7" s="2" t="str">
        <f t="shared" si="1"/>
        <v>2999-12-31  23:59:59</v>
      </c>
      <c r="J7" s="5" t="s">
        <v>25</v>
      </c>
      <c r="K7" s="5" t="s">
        <v>26</v>
      </c>
      <c r="L7" t="str">
        <f>Constants!$B$4</f>
        <v>administrator@footballoracle.co.uk</v>
      </c>
      <c r="M7" s="2" t="str">
        <f t="shared" ca="1" si="4"/>
        <v>2014-08-22 08:22:04</v>
      </c>
      <c r="N7" t="str">
        <f t="shared" ref="N7:N9" si="8">L7</f>
        <v>administrator@footballoracle.co.uk</v>
      </c>
      <c r="O7" s="2" t="str">
        <f t="shared" ca="1" si="2"/>
        <v>2014-08-22 08:22:04</v>
      </c>
    </row>
    <row r="8" spans="1:15" x14ac:dyDescent="0.25">
      <c r="A8" t="str">
        <f t="shared" si="3"/>
        <v>A03D04A9-C736-4F15-8384-E79CF406BD5D</v>
      </c>
      <c r="B8" t="str">
        <f>Organisation!A8</f>
        <v>F35F147B-3DF6-402E-B169-1DD70242B753</v>
      </c>
      <c r="C8" t="s">
        <v>35</v>
      </c>
      <c r="D8" s="5" t="s">
        <v>56</v>
      </c>
      <c r="E8" t="str">
        <f>B$2</f>
        <v>7AB43D07-F828-4313-8B73-15A2BB777748</v>
      </c>
      <c r="F8" t="s">
        <v>2</v>
      </c>
      <c r="G8" t="s">
        <v>2</v>
      </c>
      <c r="H8" s="2" t="str">
        <f t="shared" si="0"/>
        <v>1850-01-01 00:00:00</v>
      </c>
      <c r="I8" s="2" t="str">
        <f t="shared" si="1"/>
        <v>2999-12-31  23:59:59</v>
      </c>
      <c r="J8" s="5" t="s">
        <v>25</v>
      </c>
      <c r="K8" s="5" t="s">
        <v>26</v>
      </c>
      <c r="L8" t="str">
        <f>Constants!$B$4</f>
        <v>administrator@footballoracle.co.uk</v>
      </c>
      <c r="M8" s="2" t="str">
        <f t="shared" ca="1" si="4"/>
        <v>2014-08-22 08:22:04</v>
      </c>
      <c r="N8" t="str">
        <f t="shared" si="8"/>
        <v>administrator@footballoracle.co.uk</v>
      </c>
      <c r="O8" s="2" t="str">
        <f t="shared" ca="1" si="2"/>
        <v>2014-08-22 08:22:04</v>
      </c>
    </row>
    <row r="9" spans="1:15" x14ac:dyDescent="0.25">
      <c r="A9" t="str">
        <f t="shared" si="3"/>
        <v>A022EAA2-504F-4235-BCF3-B916FC1DE9E2</v>
      </c>
      <c r="B9" t="str">
        <f>Organisation!A9</f>
        <v>9C1C564E-DFEA-4335-8AA0-D69CEDBE5677</v>
      </c>
      <c r="C9" s="5" t="s">
        <v>36</v>
      </c>
      <c r="D9" s="5" t="s">
        <v>57</v>
      </c>
      <c r="E9" t="str">
        <f>B8</f>
        <v>F35F147B-3DF6-402E-B169-1DD70242B753</v>
      </c>
      <c r="F9" t="s">
        <v>2</v>
      </c>
      <c r="G9" t="s">
        <v>2</v>
      </c>
      <c r="H9" s="2" t="str">
        <f t="shared" si="0"/>
        <v>1850-01-01 00:00:00</v>
      </c>
      <c r="I9" s="2" t="str">
        <f t="shared" si="1"/>
        <v>2999-12-31  23:59:59</v>
      </c>
      <c r="J9" s="5" t="s">
        <v>25</v>
      </c>
      <c r="K9" s="5" t="s">
        <v>26</v>
      </c>
      <c r="L9" t="str">
        <f>Constants!$B$4</f>
        <v>administrator@footballoracle.co.uk</v>
      </c>
      <c r="M9" s="2" t="str">
        <f t="shared" ca="1" si="4"/>
        <v>2014-08-22 08:22:04</v>
      </c>
      <c r="N9" t="str">
        <f t="shared" si="8"/>
        <v>administrator@footballoracle.co.uk</v>
      </c>
      <c r="O9" s="2" t="str">
        <f t="shared" ca="1" si="2"/>
        <v>2014-08-22 08:22:04</v>
      </c>
    </row>
    <row r="10" spans="1:15" x14ac:dyDescent="0.25">
      <c r="A10" t="str">
        <f t="shared" si="3"/>
        <v>4E80AF6D-2B7A-4E51-82B7-16F59ABF82AE</v>
      </c>
      <c r="B10" t="str">
        <f>Organisation!A10</f>
        <v>85C84793-E5EB-4A5F-92DF-B2C3846641CD</v>
      </c>
      <c r="C10" s="5" t="s">
        <v>37</v>
      </c>
      <c r="D10" s="5" t="s">
        <v>58</v>
      </c>
      <c r="E10" t="str">
        <f>B8</f>
        <v>F35F147B-3DF6-402E-B169-1DD70242B753</v>
      </c>
      <c r="F10" t="s">
        <v>2</v>
      </c>
      <c r="G10" t="s">
        <v>2</v>
      </c>
      <c r="H10" s="2" t="str">
        <f t="shared" si="0"/>
        <v>1850-01-01 00:00:00</v>
      </c>
      <c r="I10" s="2" t="str">
        <f t="shared" si="1"/>
        <v>2999-12-31  23:59:59</v>
      </c>
      <c r="J10" s="5" t="s">
        <v>25</v>
      </c>
      <c r="K10" s="5" t="s">
        <v>26</v>
      </c>
      <c r="L10" t="str">
        <f>Constants!$B$4</f>
        <v>administrator@footballoracle.co.uk</v>
      </c>
      <c r="M10" s="2" t="str">
        <f t="shared" ca="1" si="4"/>
        <v>2014-08-22 08:22:04</v>
      </c>
      <c r="N10" t="str">
        <f t="shared" ref="N10" si="9">L10</f>
        <v>administrator@footballoracle.co.uk</v>
      </c>
      <c r="O10" s="2" t="str">
        <f t="shared" ca="1" si="2"/>
        <v>2014-08-22 08:22:04</v>
      </c>
    </row>
    <row r="11" spans="1:15" x14ac:dyDescent="0.25">
      <c r="A11" t="str">
        <f t="shared" si="3"/>
        <v>DB002AC1-67D2-4D8D-B4BB-CD93E23093CD</v>
      </c>
      <c r="B11" t="str">
        <f>Organisation!A11</f>
        <v>AE599E04-6517-4477-AB4F-7FA638B2B179</v>
      </c>
      <c r="C11" s="5" t="s">
        <v>51</v>
      </c>
      <c r="D11" s="5" t="s">
        <v>147</v>
      </c>
      <c r="E11" t="str">
        <f>B8</f>
        <v>F35F147B-3DF6-402E-B169-1DD70242B753</v>
      </c>
      <c r="F11" t="s">
        <v>2</v>
      </c>
      <c r="G11" t="s">
        <v>2</v>
      </c>
      <c r="H11" s="2" t="str">
        <f t="shared" si="0"/>
        <v>1850-01-01 00:00:00</v>
      </c>
      <c r="I11" s="2" t="str">
        <f t="shared" si="1"/>
        <v>2999-12-31  23:59:59</v>
      </c>
      <c r="J11" s="5" t="s">
        <v>25</v>
      </c>
      <c r="K11" s="5" t="s">
        <v>26</v>
      </c>
      <c r="L11" t="str">
        <f>Constants!$B$4</f>
        <v>administrator@footballoracle.co.uk</v>
      </c>
      <c r="M11" s="2" t="str">
        <f t="shared" ca="1" si="4"/>
        <v>2014-08-22 08:22:04</v>
      </c>
      <c r="N11" t="str">
        <f t="shared" ref="N11" si="10">L11</f>
        <v>administrator@footballoracle.co.uk</v>
      </c>
      <c r="O11" s="2" t="str">
        <f t="shared" ca="1" si="2"/>
        <v>2014-08-22 08:22:04</v>
      </c>
    </row>
    <row r="12" spans="1:15" x14ac:dyDescent="0.25">
      <c r="A12" t="str">
        <f t="shared" si="3"/>
        <v>757B65E8-6040-47B3-8E9E-FABF62B57A00</v>
      </c>
      <c r="B12" t="str">
        <f>Organisation!A12</f>
        <v>DC9B43BC-CE4B-465A-95DF-0C27469CCBA8</v>
      </c>
      <c r="C12" s="5" t="s">
        <v>38</v>
      </c>
      <c r="D12" s="5" t="s">
        <v>162</v>
      </c>
      <c r="E12" t="str">
        <f>B8</f>
        <v>F35F147B-3DF6-402E-B169-1DD70242B753</v>
      </c>
      <c r="F12" t="s">
        <v>2</v>
      </c>
      <c r="G12" t="s">
        <v>2</v>
      </c>
      <c r="H12" s="2" t="str">
        <f t="shared" si="0"/>
        <v>1850-01-01 00:00:00</v>
      </c>
      <c r="I12" s="2" t="str">
        <f t="shared" si="1"/>
        <v>2999-12-31  23:59:59</v>
      </c>
      <c r="J12" s="5" t="s">
        <v>25</v>
      </c>
      <c r="K12" s="5" t="s">
        <v>26</v>
      </c>
      <c r="L12" t="str">
        <f>Constants!$B$4</f>
        <v>administrator@footballoracle.co.uk</v>
      </c>
      <c r="M12" s="2" t="str">
        <f t="shared" ca="1" si="4"/>
        <v>2014-08-22 08:22:04</v>
      </c>
      <c r="N12" t="str">
        <f t="shared" ref="N12" si="11">L12</f>
        <v>administrator@footballoracle.co.uk</v>
      </c>
      <c r="O12" s="2" t="str">
        <f t="shared" ca="1" si="2"/>
        <v>2014-08-22 08:22:04</v>
      </c>
    </row>
    <row r="13" spans="1:15" x14ac:dyDescent="0.25">
      <c r="A13" t="str">
        <f t="shared" si="3"/>
        <v>586BF612-06E5-49AB-8E44-1743B7EACB6E</v>
      </c>
      <c r="B13" t="str">
        <f>Organisation!A13</f>
        <v>3DA1266D-E659-4B2E-8961-02BB7D10DB3C</v>
      </c>
      <c r="C13" s="5" t="s">
        <v>42</v>
      </c>
      <c r="D13" s="5" t="s">
        <v>177</v>
      </c>
      <c r="E13" t="str">
        <f>B8</f>
        <v>F35F147B-3DF6-402E-B169-1DD70242B753</v>
      </c>
      <c r="F13" t="s">
        <v>2</v>
      </c>
      <c r="G13" t="s">
        <v>2</v>
      </c>
      <c r="H13" s="2" t="str">
        <f t="shared" si="0"/>
        <v>1850-01-01 00:00:00</v>
      </c>
      <c r="I13" s="2" t="str">
        <f t="shared" si="1"/>
        <v>2999-12-31  23:59:59</v>
      </c>
      <c r="J13" s="5" t="s">
        <v>25</v>
      </c>
      <c r="K13" s="5" t="s">
        <v>26</v>
      </c>
      <c r="L13" t="str">
        <f>Constants!$B$4</f>
        <v>administrator@footballoracle.co.uk</v>
      </c>
      <c r="M13" s="2" t="str">
        <f t="shared" ca="1" si="4"/>
        <v>2014-08-22 08:22:04</v>
      </c>
      <c r="N13" t="str">
        <f t="shared" ref="N13:N14" si="12">L13</f>
        <v>administrator@footballoracle.co.uk</v>
      </c>
      <c r="O13" s="2" t="str">
        <f t="shared" ca="1" si="2"/>
        <v>2014-08-22 08:22:04</v>
      </c>
    </row>
    <row r="14" spans="1:15" x14ac:dyDescent="0.25">
      <c r="A14" t="str">
        <f t="shared" si="3"/>
        <v>3FEF1E5E-7F40-47AB-A959-E476FCC72DC6</v>
      </c>
      <c r="B14" t="str">
        <f>Organisation!A14</f>
        <v>F969542A-7B0E-4653-8B13-2E142404AF4A</v>
      </c>
      <c r="C14" t="s">
        <v>40</v>
      </c>
      <c r="D14" s="5" t="s">
        <v>197</v>
      </c>
      <c r="E14" t="str">
        <f>B$2</f>
        <v>7AB43D07-F828-4313-8B73-15A2BB777748</v>
      </c>
      <c r="F14" t="s">
        <v>2</v>
      </c>
      <c r="G14" t="s">
        <v>2</v>
      </c>
      <c r="H14" s="2" t="str">
        <f t="shared" si="0"/>
        <v>1850-01-01 00:00:00</v>
      </c>
      <c r="I14" s="2" t="str">
        <f t="shared" si="1"/>
        <v>2999-12-31  23:59:59</v>
      </c>
      <c r="J14" s="5" t="s">
        <v>25</v>
      </c>
      <c r="K14" s="5" t="s">
        <v>26</v>
      </c>
      <c r="L14" t="str">
        <f>Constants!$B$4</f>
        <v>administrator@footballoracle.co.uk</v>
      </c>
      <c r="M14" s="2" t="str">
        <f t="shared" ca="1" si="4"/>
        <v>2014-08-22 08:22:04</v>
      </c>
      <c r="N14" t="str">
        <f t="shared" si="12"/>
        <v>administrator@footballoracle.co.uk</v>
      </c>
      <c r="O14" s="2" t="str">
        <f t="shared" ca="1" si="2"/>
        <v>2014-08-22 08:22:04</v>
      </c>
    </row>
    <row r="15" spans="1:15" x14ac:dyDescent="0.25">
      <c r="A15" t="str">
        <f t="shared" si="3"/>
        <v>F194D025-8F59-4206-89A0-328A4EDE4B7A</v>
      </c>
      <c r="B15" t="str">
        <f>Organisation!A15</f>
        <v>D483E3BA-6593-45C0-B0ED-BC8D06EB1614</v>
      </c>
      <c r="C15" s="5" t="s">
        <v>43</v>
      </c>
      <c r="D15" s="5" t="s">
        <v>198</v>
      </c>
      <c r="E15" t="str">
        <f>B14</f>
        <v>F969542A-7B0E-4653-8B13-2E142404AF4A</v>
      </c>
      <c r="F15" t="s">
        <v>2</v>
      </c>
      <c r="G15" t="s">
        <v>2</v>
      </c>
      <c r="H15" s="2" t="str">
        <f t="shared" si="0"/>
        <v>1850-01-01 00:00:00</v>
      </c>
      <c r="I15" s="2" t="str">
        <f t="shared" si="1"/>
        <v>2999-12-31  23:59:59</v>
      </c>
      <c r="J15" s="5" t="s">
        <v>25</v>
      </c>
      <c r="K15" s="5" t="s">
        <v>26</v>
      </c>
      <c r="L15" t="str">
        <f>Constants!$B$4</f>
        <v>administrator@footballoracle.co.uk</v>
      </c>
      <c r="M15" s="2" t="str">
        <f t="shared" ca="1" si="4"/>
        <v>2014-08-22 08:22:04</v>
      </c>
      <c r="N15" t="str">
        <f t="shared" ref="N15" si="13">L15</f>
        <v>administrator@footballoracle.co.uk</v>
      </c>
      <c r="O15" s="2" t="str">
        <f t="shared" ca="1" si="2"/>
        <v>2014-08-22 08:22:04</v>
      </c>
    </row>
    <row r="16" spans="1:15" x14ac:dyDescent="0.25">
      <c r="A16" t="str">
        <f t="shared" si="3"/>
        <v>1482D24E-DE9D-4C69-B5FE-3F238E0FDF8F</v>
      </c>
      <c r="B16" t="str">
        <f>Organisation!A16</f>
        <v>C62F6131-6BD1-4230-8D77-DD7983F8911B</v>
      </c>
      <c r="C16" s="5" t="s">
        <v>50</v>
      </c>
      <c r="D16" s="5" t="s">
        <v>202</v>
      </c>
      <c r="E16" t="str">
        <f>B14</f>
        <v>F969542A-7B0E-4653-8B13-2E142404AF4A</v>
      </c>
      <c r="F16" t="s">
        <v>2</v>
      </c>
      <c r="G16" t="s">
        <v>2</v>
      </c>
      <c r="H16" s="2" t="str">
        <f t="shared" si="0"/>
        <v>1850-01-01 00:00:00</v>
      </c>
      <c r="I16" s="2" t="str">
        <f t="shared" si="1"/>
        <v>2999-12-31  23:59:59</v>
      </c>
      <c r="J16" s="5" t="s">
        <v>25</v>
      </c>
      <c r="K16" s="5" t="s">
        <v>26</v>
      </c>
      <c r="L16" t="str">
        <f>Constants!$B$4</f>
        <v>administrator@footballoracle.co.uk</v>
      </c>
      <c r="M16" s="2" t="str">
        <f t="shared" ca="1" si="4"/>
        <v>2014-08-22 08:22:04</v>
      </c>
      <c r="N16" t="str">
        <f t="shared" ref="N16" si="14">L16</f>
        <v>administrator@footballoracle.co.uk</v>
      </c>
      <c r="O16" s="2" t="str">
        <f t="shared" ca="1" si="2"/>
        <v>2014-08-22 08:22:04</v>
      </c>
    </row>
    <row r="17" spans="1:15" x14ac:dyDescent="0.25">
      <c r="A17" t="str">
        <f t="shared" si="3"/>
        <v>0CF7FA77-0E89-46DD-A2BE-62051E0E3CE6</v>
      </c>
      <c r="B17" t="str">
        <f>Organisation!A17</f>
        <v>83239B57-0F7F-4EA6-BC15-B0213B0B91EC</v>
      </c>
      <c r="C17" s="5" t="s">
        <v>39</v>
      </c>
      <c r="D17" s="5" t="s">
        <v>210</v>
      </c>
      <c r="E17" t="str">
        <f>B14</f>
        <v>F969542A-7B0E-4653-8B13-2E142404AF4A</v>
      </c>
      <c r="F17" t="s">
        <v>2</v>
      </c>
      <c r="G17" t="s">
        <v>2</v>
      </c>
      <c r="H17" s="2" t="str">
        <f t="shared" si="0"/>
        <v>1850-01-01 00:00:00</v>
      </c>
      <c r="I17" s="2" t="str">
        <f t="shared" si="1"/>
        <v>2999-12-31  23:59:59</v>
      </c>
      <c r="J17" s="5" t="s">
        <v>25</v>
      </c>
      <c r="K17" s="5" t="s">
        <v>26</v>
      </c>
      <c r="L17" t="str">
        <f>Constants!$B$4</f>
        <v>administrator@footballoracle.co.uk</v>
      </c>
      <c r="M17" s="2" t="str">
        <f t="shared" ca="1" si="4"/>
        <v>2014-08-22 08:22:04</v>
      </c>
      <c r="N17" t="str">
        <f t="shared" ref="N17" si="15">L17</f>
        <v>administrator@footballoracle.co.uk</v>
      </c>
      <c r="O17" s="2" t="str">
        <f t="shared" ca="1" si="2"/>
        <v>2014-08-22 08:22:04</v>
      </c>
    </row>
    <row r="18" spans="1:15" x14ac:dyDescent="0.25">
      <c r="A18" t="str">
        <f t="shared" si="3"/>
        <v>B47B0FC8-1DC9-4692-8C35-3958C42670B8</v>
      </c>
      <c r="B18" t="str">
        <f>Organisation!A18</f>
        <v>37BD9927-3C41-42F8-A76C-370CB8F202B9</v>
      </c>
      <c r="C18" s="5" t="s">
        <v>41</v>
      </c>
      <c r="D18" s="5" t="s">
        <v>245</v>
      </c>
      <c r="E18" t="str">
        <f>B$2</f>
        <v>7AB43D07-F828-4313-8B73-15A2BB777748</v>
      </c>
      <c r="F18" t="s">
        <v>2</v>
      </c>
      <c r="G18" t="s">
        <v>2</v>
      </c>
      <c r="H18" s="2" t="str">
        <f t="shared" si="0"/>
        <v>1850-01-01 00:00:00</v>
      </c>
      <c r="I18" s="2" t="str">
        <f t="shared" si="1"/>
        <v>2999-12-31  23:59:59</v>
      </c>
      <c r="J18" s="5" t="s">
        <v>25</v>
      </c>
      <c r="K18" s="5" t="s">
        <v>26</v>
      </c>
      <c r="L18" t="str">
        <f>Constants!$B$4</f>
        <v>administrator@footballoracle.co.uk</v>
      </c>
      <c r="M18" s="2" t="str">
        <f t="shared" ca="1" si="4"/>
        <v>2014-08-22 08:22:04</v>
      </c>
      <c r="N18" t="str">
        <f t="shared" ref="N18" si="16">L18</f>
        <v>administrator@footballoracle.co.uk</v>
      </c>
      <c r="O18" s="2" t="str">
        <f t="shared" ca="1" si="2"/>
        <v>2014-08-22 08:22:04</v>
      </c>
    </row>
    <row r="19" spans="1:15" x14ac:dyDescent="0.25">
      <c r="A19" t="str">
        <f t="shared" si="3"/>
        <v>BE9DF17C-9C86-45E0-A81B-3AAD2DDC0952</v>
      </c>
      <c r="B19" t="str">
        <f>Organisation!A19</f>
        <v>543B02BB-898C-449F-8038-51780A2938F2</v>
      </c>
      <c r="C19" s="5" t="s">
        <v>44</v>
      </c>
      <c r="D19" s="5" t="s">
        <v>256</v>
      </c>
      <c r="E19" t="str">
        <f>B$2</f>
        <v>7AB43D07-F828-4313-8B73-15A2BB777748</v>
      </c>
      <c r="F19" t="s">
        <v>2</v>
      </c>
      <c r="G19" t="s">
        <v>2</v>
      </c>
      <c r="H19" s="2" t="str">
        <f t="shared" si="0"/>
        <v>1850-01-01 00:00:00</v>
      </c>
      <c r="I19" s="2" t="str">
        <f t="shared" si="1"/>
        <v>2999-12-31  23:59:59</v>
      </c>
      <c r="J19" s="5" t="s">
        <v>25</v>
      </c>
      <c r="K19" s="5" t="s">
        <v>26</v>
      </c>
      <c r="L19" t="str">
        <f>Constants!$B$4</f>
        <v>administrator@footballoracle.co.uk</v>
      </c>
      <c r="M19" s="2" t="str">
        <f t="shared" ca="1" si="4"/>
        <v>2014-08-22 08:22:04</v>
      </c>
      <c r="N19" t="str">
        <f t="shared" ref="N19:N20" si="17">L19</f>
        <v>administrator@footballoracle.co.uk</v>
      </c>
      <c r="O19" s="2" t="str">
        <f t="shared" ca="1" si="2"/>
        <v>2014-08-22 08:22:04</v>
      </c>
    </row>
    <row r="20" spans="1:15" x14ac:dyDescent="0.25">
      <c r="A20" t="str">
        <f t="shared" si="3"/>
        <v>79304E9B-1D39-48BA-959C-BD47AA728BAA</v>
      </c>
      <c r="B20" t="str">
        <f>Organisation!A20</f>
        <v>C8DE6FCA-0B89-44DC-B684-F9ACB20258A1</v>
      </c>
      <c r="C20" t="s">
        <v>49</v>
      </c>
      <c r="D20" s="5" t="s">
        <v>273</v>
      </c>
      <c r="E20" t="str">
        <f>B$2</f>
        <v>7AB43D07-F828-4313-8B73-15A2BB777748</v>
      </c>
      <c r="F20" t="s">
        <v>2</v>
      </c>
      <c r="G20" t="s">
        <v>2</v>
      </c>
      <c r="H20" s="2" t="str">
        <f t="shared" si="0"/>
        <v>1850-01-01 00:00:00</v>
      </c>
      <c r="I20" s="2" t="str">
        <f t="shared" si="1"/>
        <v>2999-12-31  23:59:59</v>
      </c>
      <c r="J20" s="5" t="s">
        <v>25</v>
      </c>
      <c r="K20" s="5" t="s">
        <v>26</v>
      </c>
      <c r="L20" t="str">
        <f>Constants!$B$4</f>
        <v>administrator@footballoracle.co.uk</v>
      </c>
      <c r="M20" s="2" t="str">
        <f t="shared" ca="1" si="4"/>
        <v>2014-08-22 08:22:04</v>
      </c>
      <c r="N20" t="str">
        <f t="shared" si="17"/>
        <v>administrator@footballoracle.co.uk</v>
      </c>
      <c r="O20" s="2" t="str">
        <f t="shared" ca="1" si="2"/>
        <v>2014-08-22 08:22:04</v>
      </c>
    </row>
    <row r="21" spans="1:15" x14ac:dyDescent="0.25">
      <c r="A21" t="str">
        <f t="shared" si="3"/>
        <v>7A9E75DF-C018-40F1-8503-B1329EA65CFC</v>
      </c>
      <c r="B21" t="str">
        <f>Organisation!A21</f>
        <v>5F0B3BE5-7F62-43BA-94CE-ACA280E1B269</v>
      </c>
      <c r="C21" t="s">
        <v>45</v>
      </c>
      <c r="D21" t="s">
        <v>341</v>
      </c>
      <c r="E21" t="s">
        <v>2</v>
      </c>
      <c r="F21" t="str">
        <f>CountryV!B223</f>
        <v>6577E754-1B41-4EBA-A72A-B37A56CD0471</v>
      </c>
      <c r="G21" t="s">
        <v>2</v>
      </c>
      <c r="H21" s="2" t="str">
        <f t="shared" si="0"/>
        <v>1850-01-01 00:00:00</v>
      </c>
      <c r="I21" s="2" t="str">
        <f t="shared" si="1"/>
        <v>2999-12-31  23:59:59</v>
      </c>
      <c r="J21" s="5" t="s">
        <v>25</v>
      </c>
      <c r="K21" s="5" t="s">
        <v>26</v>
      </c>
      <c r="L21" t="str">
        <f>Constants!$B$4</f>
        <v>administrator@footballoracle.co.uk</v>
      </c>
      <c r="M21" s="2" t="str">
        <f t="shared" ca="1" si="4"/>
        <v>2014-08-22 08:22:04</v>
      </c>
      <c r="N21" t="str">
        <f t="shared" ref="N21" si="18">L21</f>
        <v>administrator@footballoracle.co.uk</v>
      </c>
      <c r="O21" s="2" t="str">
        <f t="shared" ca="1" si="2"/>
        <v>2014-08-22 08:22:04</v>
      </c>
    </row>
    <row r="22" spans="1:15" x14ac:dyDescent="0.25">
      <c r="A22" t="str">
        <f t="shared" si="3"/>
        <v>1B39BC74-A7A9-4D47-B17D-F5B2B036CCDF</v>
      </c>
      <c r="B22" t="str">
        <f>Organisation!A22</f>
        <v>367EE563-68EB-444C-8E40-C1C2875BF63D</v>
      </c>
      <c r="C22" t="s">
        <v>48</v>
      </c>
      <c r="E22" t="s">
        <v>2</v>
      </c>
      <c r="F22" t="str">
        <f>CountryV!B223</f>
        <v>6577E754-1B41-4EBA-A72A-B37A56CD0471</v>
      </c>
      <c r="G22" t="s">
        <v>2</v>
      </c>
      <c r="H22" s="2" t="str">
        <f t="shared" si="0"/>
        <v>1850-01-01 00:00:00</v>
      </c>
      <c r="I22" s="2" t="str">
        <f t="shared" si="1"/>
        <v>2999-12-31  23:59:59</v>
      </c>
      <c r="J22" s="5" t="s">
        <v>25</v>
      </c>
      <c r="K22" s="5" t="s">
        <v>26</v>
      </c>
      <c r="L22" t="str">
        <f>Constants!$B$4</f>
        <v>administrator@footballoracle.co.uk</v>
      </c>
      <c r="M22" s="2" t="str">
        <f t="shared" ca="1" si="4"/>
        <v>2014-08-22 08:22:04</v>
      </c>
      <c r="N22" t="str">
        <f t="shared" ref="N22" si="19">L22</f>
        <v>administrator@footballoracle.co.uk</v>
      </c>
      <c r="O22" s="2" t="str">
        <f t="shared" ca="1" si="2"/>
        <v>2014-08-22 08:22:04</v>
      </c>
    </row>
    <row r="23" spans="1:15" x14ac:dyDescent="0.25">
      <c r="A23" t="str">
        <f t="shared" si="3"/>
        <v>E6F1E295-6A69-4512-A326-F9B4CED3C1FB</v>
      </c>
      <c r="B23" t="str">
        <f>Organisation!A23</f>
        <v>6F16DC7D-23F4-4F02-864A-CB629BD5444C</v>
      </c>
      <c r="C23" t="s">
        <v>47</v>
      </c>
      <c r="E23" t="s">
        <v>2</v>
      </c>
      <c r="F23" t="str">
        <f>CountryV!B223</f>
        <v>6577E754-1B41-4EBA-A72A-B37A56CD0471</v>
      </c>
      <c r="G23" t="s">
        <v>2</v>
      </c>
      <c r="H23" s="2" t="str">
        <f t="shared" si="0"/>
        <v>1850-01-01 00:00:00</v>
      </c>
      <c r="I23" s="2" t="str">
        <f t="shared" si="1"/>
        <v>2999-12-31  23:59:59</v>
      </c>
      <c r="J23" s="5" t="s">
        <v>25</v>
      </c>
      <c r="K23" s="5" t="s">
        <v>26</v>
      </c>
      <c r="L23" t="str">
        <f>Constants!$B$4</f>
        <v>administrator@footballoracle.co.uk</v>
      </c>
      <c r="M23" s="2" t="str">
        <f t="shared" ca="1" si="4"/>
        <v>2014-08-22 08:22:04</v>
      </c>
      <c r="N23" t="str">
        <f t="shared" ref="N23" si="20">L23</f>
        <v>administrator@footballoracle.co.uk</v>
      </c>
      <c r="O23" s="2" t="str">
        <f t="shared" ca="1" si="2"/>
        <v>2014-08-22 08:22:04</v>
      </c>
    </row>
    <row r="24" spans="1:15" x14ac:dyDescent="0.25">
      <c r="A24" t="str">
        <f t="shared" si="3"/>
        <v>E3DE5DB6-9845-4B80-9580-86623CFA400D</v>
      </c>
      <c r="B24" t="str">
        <f>Organisation!A24</f>
        <v>DC22E87A-7DA6-4529-8F63-3CE526A52E81</v>
      </c>
      <c r="C24" t="s">
        <v>46</v>
      </c>
      <c r="E24" t="s">
        <v>2</v>
      </c>
      <c r="F24" t="str">
        <f>CountryV!B264</f>
        <v>D8D7B16F-BAB9-4A1B-8C61-3C5B7CAA6D45</v>
      </c>
      <c r="G24" t="s">
        <v>2</v>
      </c>
      <c r="H24" s="2" t="str">
        <f t="shared" si="0"/>
        <v>1850-01-01 00:00:00</v>
      </c>
      <c r="I24" s="2" t="str">
        <f t="shared" si="1"/>
        <v>2999-12-31  23:59:59</v>
      </c>
      <c r="J24" s="5" t="s">
        <v>25</v>
      </c>
      <c r="K24" s="5" t="s">
        <v>26</v>
      </c>
      <c r="L24" t="str">
        <f>Constants!$B$4</f>
        <v>administrator@footballoracle.co.uk</v>
      </c>
      <c r="M24" s="2" t="str">
        <f t="shared" ca="1" si="4"/>
        <v>2014-08-22 08:22:04</v>
      </c>
      <c r="N24" t="str">
        <f t="shared" ref="N24" si="21">L24</f>
        <v>administrator@footballoracle.co.uk</v>
      </c>
      <c r="O24" s="2" t="str">
        <f t="shared" ca="1" si="2"/>
        <v>2014-08-22 08:22:04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27"/>
  <sheetViews>
    <sheetView workbookViewId="0">
      <selection activeCell="A2" sqref="A2"/>
    </sheetView>
  </sheetViews>
  <sheetFormatPr defaultRowHeight="15" x14ac:dyDescent="0.25"/>
  <cols>
    <col min="1" max="1" width="40.140625" bestFit="1" customWidth="1"/>
  </cols>
  <sheetData>
    <row r="1" spans="1:1" s="1" customFormat="1" x14ac:dyDescent="0.25">
      <c r="A1" s="1" t="s">
        <v>337</v>
      </c>
    </row>
    <row r="2" spans="1:1" x14ac:dyDescent="0.25">
      <c r="A2" t="s">
        <v>389</v>
      </c>
    </row>
    <row r="3" spans="1:1" x14ac:dyDescent="0.25">
      <c r="A3" t="s">
        <v>390</v>
      </c>
    </row>
    <row r="4" spans="1:1" x14ac:dyDescent="0.25">
      <c r="A4" t="s">
        <v>391</v>
      </c>
    </row>
    <row r="5" spans="1:1" x14ac:dyDescent="0.25">
      <c r="A5" t="s">
        <v>392</v>
      </c>
    </row>
    <row r="6" spans="1:1" x14ac:dyDescent="0.25">
      <c r="A6" t="s">
        <v>393</v>
      </c>
    </row>
    <row r="7" spans="1:1" x14ac:dyDescent="0.25">
      <c r="A7" t="s">
        <v>394</v>
      </c>
    </row>
    <row r="8" spans="1:1" x14ac:dyDescent="0.25">
      <c r="A8" t="s">
        <v>395</v>
      </c>
    </row>
    <row r="9" spans="1:1" x14ac:dyDescent="0.25">
      <c r="A9" t="s">
        <v>396</v>
      </c>
    </row>
    <row r="10" spans="1:1" x14ac:dyDescent="0.25">
      <c r="A10" t="s">
        <v>397</v>
      </c>
    </row>
    <row r="11" spans="1:1" x14ac:dyDescent="0.25">
      <c r="A11" t="s">
        <v>398</v>
      </c>
    </row>
    <row r="12" spans="1:1" x14ac:dyDescent="0.25">
      <c r="A12" t="s">
        <v>399</v>
      </c>
    </row>
    <row r="13" spans="1:1" x14ac:dyDescent="0.25">
      <c r="A13" t="s">
        <v>400</v>
      </c>
    </row>
    <row r="14" spans="1:1" x14ac:dyDescent="0.25">
      <c r="A14" t="s">
        <v>401</v>
      </c>
    </row>
    <row r="15" spans="1:1" x14ac:dyDescent="0.25">
      <c r="A15" t="s">
        <v>402</v>
      </c>
    </row>
    <row r="16" spans="1:1" x14ac:dyDescent="0.25">
      <c r="A16" t="s">
        <v>403</v>
      </c>
    </row>
    <row r="17" spans="1:1" x14ac:dyDescent="0.25">
      <c r="A17" t="s">
        <v>404</v>
      </c>
    </row>
    <row r="18" spans="1:1" x14ac:dyDescent="0.25">
      <c r="A18" t="s">
        <v>405</v>
      </c>
    </row>
    <row r="19" spans="1:1" x14ac:dyDescent="0.25">
      <c r="A19" t="s">
        <v>406</v>
      </c>
    </row>
    <row r="20" spans="1:1" x14ac:dyDescent="0.25">
      <c r="A20" t="s">
        <v>407</v>
      </c>
    </row>
    <row r="21" spans="1:1" x14ac:dyDescent="0.25">
      <c r="A21" t="s">
        <v>408</v>
      </c>
    </row>
    <row r="22" spans="1:1" x14ac:dyDescent="0.25">
      <c r="A22" t="s">
        <v>409</v>
      </c>
    </row>
    <row r="23" spans="1:1" x14ac:dyDescent="0.25">
      <c r="A23" t="s">
        <v>410</v>
      </c>
    </row>
    <row r="24" spans="1:1" x14ac:dyDescent="0.25">
      <c r="A24" t="s">
        <v>411</v>
      </c>
    </row>
    <row r="25" spans="1:1" x14ac:dyDescent="0.25">
      <c r="A25" t="s">
        <v>412</v>
      </c>
    </row>
    <row r="26" spans="1:1" x14ac:dyDescent="0.25">
      <c r="A26" t="s">
        <v>413</v>
      </c>
    </row>
    <row r="27" spans="1:1" x14ac:dyDescent="0.25">
      <c r="A27" t="s">
        <v>414</v>
      </c>
    </row>
    <row r="28" spans="1:1" x14ac:dyDescent="0.25">
      <c r="A28" t="s">
        <v>415</v>
      </c>
    </row>
    <row r="29" spans="1:1" x14ac:dyDescent="0.25">
      <c r="A29" t="s">
        <v>416</v>
      </c>
    </row>
    <row r="30" spans="1:1" x14ac:dyDescent="0.25">
      <c r="A30" t="s">
        <v>417</v>
      </c>
    </row>
    <row r="31" spans="1:1" x14ac:dyDescent="0.25">
      <c r="A31" t="s">
        <v>418</v>
      </c>
    </row>
    <row r="32" spans="1:1" x14ac:dyDescent="0.25">
      <c r="A32" t="s">
        <v>419</v>
      </c>
    </row>
    <row r="33" spans="1:1" x14ac:dyDescent="0.25">
      <c r="A33" t="s">
        <v>420</v>
      </c>
    </row>
    <row r="34" spans="1:1" x14ac:dyDescent="0.25">
      <c r="A34" t="s">
        <v>421</v>
      </c>
    </row>
    <row r="35" spans="1:1" x14ac:dyDescent="0.25">
      <c r="A35" t="s">
        <v>422</v>
      </c>
    </row>
    <row r="36" spans="1:1" x14ac:dyDescent="0.25">
      <c r="A36" t="s">
        <v>423</v>
      </c>
    </row>
    <row r="37" spans="1:1" x14ac:dyDescent="0.25">
      <c r="A37" t="s">
        <v>424</v>
      </c>
    </row>
    <row r="38" spans="1:1" x14ac:dyDescent="0.25">
      <c r="A38" t="s">
        <v>425</v>
      </c>
    </row>
    <row r="39" spans="1:1" x14ac:dyDescent="0.25">
      <c r="A39" t="s">
        <v>426</v>
      </c>
    </row>
    <row r="40" spans="1:1" x14ac:dyDescent="0.25">
      <c r="A40" t="s">
        <v>427</v>
      </c>
    </row>
    <row r="41" spans="1:1" x14ac:dyDescent="0.25">
      <c r="A41" t="s">
        <v>428</v>
      </c>
    </row>
    <row r="42" spans="1:1" x14ac:dyDescent="0.25">
      <c r="A42" t="s">
        <v>429</v>
      </c>
    </row>
    <row r="43" spans="1:1" x14ac:dyDescent="0.25">
      <c r="A43" t="s">
        <v>430</v>
      </c>
    </row>
    <row r="44" spans="1:1" x14ac:dyDescent="0.25">
      <c r="A44" t="s">
        <v>431</v>
      </c>
    </row>
    <row r="45" spans="1:1" x14ac:dyDescent="0.25">
      <c r="A45" t="s">
        <v>432</v>
      </c>
    </row>
    <row r="46" spans="1:1" x14ac:dyDescent="0.25">
      <c r="A46" t="s">
        <v>433</v>
      </c>
    </row>
    <row r="47" spans="1:1" x14ac:dyDescent="0.25">
      <c r="A47" t="s">
        <v>434</v>
      </c>
    </row>
    <row r="48" spans="1:1" x14ac:dyDescent="0.25">
      <c r="A48" t="s">
        <v>435</v>
      </c>
    </row>
    <row r="49" spans="1:1" x14ac:dyDescent="0.25">
      <c r="A49" t="s">
        <v>436</v>
      </c>
    </row>
    <row r="50" spans="1:1" x14ac:dyDescent="0.25">
      <c r="A50" t="s">
        <v>437</v>
      </c>
    </row>
    <row r="51" spans="1:1" x14ac:dyDescent="0.25">
      <c r="A51" t="s">
        <v>438</v>
      </c>
    </row>
    <row r="52" spans="1:1" x14ac:dyDescent="0.25">
      <c r="A52" t="s">
        <v>439</v>
      </c>
    </row>
    <row r="53" spans="1:1" x14ac:dyDescent="0.25">
      <c r="A53" t="s">
        <v>440</v>
      </c>
    </row>
    <row r="54" spans="1:1" x14ac:dyDescent="0.25">
      <c r="A54" t="s">
        <v>441</v>
      </c>
    </row>
    <row r="55" spans="1:1" x14ac:dyDescent="0.25">
      <c r="A55" t="s">
        <v>442</v>
      </c>
    </row>
    <row r="56" spans="1:1" x14ac:dyDescent="0.25">
      <c r="A56" t="s">
        <v>443</v>
      </c>
    </row>
    <row r="57" spans="1:1" x14ac:dyDescent="0.25">
      <c r="A57" t="s">
        <v>444</v>
      </c>
    </row>
    <row r="58" spans="1:1" x14ac:dyDescent="0.25">
      <c r="A58" t="s">
        <v>445</v>
      </c>
    </row>
    <row r="59" spans="1:1" x14ac:dyDescent="0.25">
      <c r="A59" t="s">
        <v>446</v>
      </c>
    </row>
    <row r="60" spans="1:1" x14ac:dyDescent="0.25">
      <c r="A60" t="s">
        <v>447</v>
      </c>
    </row>
    <row r="61" spans="1:1" x14ac:dyDescent="0.25">
      <c r="A61" t="s">
        <v>448</v>
      </c>
    </row>
    <row r="62" spans="1:1" x14ac:dyDescent="0.25">
      <c r="A62" t="s">
        <v>449</v>
      </c>
    </row>
    <row r="63" spans="1:1" x14ac:dyDescent="0.25">
      <c r="A63" t="s">
        <v>450</v>
      </c>
    </row>
    <row r="64" spans="1:1" x14ac:dyDescent="0.25">
      <c r="A64" t="s">
        <v>451</v>
      </c>
    </row>
    <row r="65" spans="1:1" x14ac:dyDescent="0.25">
      <c r="A65" t="s">
        <v>452</v>
      </c>
    </row>
    <row r="66" spans="1:1" x14ac:dyDescent="0.25">
      <c r="A66" t="s">
        <v>453</v>
      </c>
    </row>
    <row r="67" spans="1:1" x14ac:dyDescent="0.25">
      <c r="A67" t="s">
        <v>454</v>
      </c>
    </row>
    <row r="68" spans="1:1" x14ac:dyDescent="0.25">
      <c r="A68" t="s">
        <v>455</v>
      </c>
    </row>
    <row r="69" spans="1:1" x14ac:dyDescent="0.25">
      <c r="A69" t="s">
        <v>456</v>
      </c>
    </row>
    <row r="70" spans="1:1" x14ac:dyDescent="0.25">
      <c r="A70" t="s">
        <v>457</v>
      </c>
    </row>
    <row r="71" spans="1:1" x14ac:dyDescent="0.25">
      <c r="A71" t="s">
        <v>458</v>
      </c>
    </row>
    <row r="72" spans="1:1" x14ac:dyDescent="0.25">
      <c r="A72" t="s">
        <v>459</v>
      </c>
    </row>
    <row r="73" spans="1:1" x14ac:dyDescent="0.25">
      <c r="A73" t="s">
        <v>460</v>
      </c>
    </row>
    <row r="74" spans="1:1" x14ac:dyDescent="0.25">
      <c r="A74" t="s">
        <v>461</v>
      </c>
    </row>
    <row r="75" spans="1:1" x14ac:dyDescent="0.25">
      <c r="A75" t="s">
        <v>462</v>
      </c>
    </row>
    <row r="76" spans="1:1" x14ac:dyDescent="0.25">
      <c r="A76" t="s">
        <v>463</v>
      </c>
    </row>
    <row r="77" spans="1:1" x14ac:dyDescent="0.25">
      <c r="A77" t="s">
        <v>464</v>
      </c>
    </row>
    <row r="78" spans="1:1" x14ac:dyDescent="0.25">
      <c r="A78" t="s">
        <v>465</v>
      </c>
    </row>
    <row r="79" spans="1:1" x14ac:dyDescent="0.25">
      <c r="A79" t="s">
        <v>466</v>
      </c>
    </row>
    <row r="80" spans="1:1" x14ac:dyDescent="0.25">
      <c r="A80" t="s">
        <v>467</v>
      </c>
    </row>
    <row r="81" spans="1:1" x14ac:dyDescent="0.25">
      <c r="A81" t="s">
        <v>468</v>
      </c>
    </row>
    <row r="82" spans="1:1" x14ac:dyDescent="0.25">
      <c r="A82" t="s">
        <v>469</v>
      </c>
    </row>
    <row r="83" spans="1:1" x14ac:dyDescent="0.25">
      <c r="A83" t="s">
        <v>470</v>
      </c>
    </row>
    <row r="84" spans="1:1" x14ac:dyDescent="0.25">
      <c r="A84" t="s">
        <v>471</v>
      </c>
    </row>
    <row r="85" spans="1:1" x14ac:dyDescent="0.25">
      <c r="A85" t="s">
        <v>472</v>
      </c>
    </row>
    <row r="86" spans="1:1" x14ac:dyDescent="0.25">
      <c r="A86" t="s">
        <v>473</v>
      </c>
    </row>
    <row r="87" spans="1:1" x14ac:dyDescent="0.25">
      <c r="A87" t="s">
        <v>474</v>
      </c>
    </row>
    <row r="88" spans="1:1" x14ac:dyDescent="0.25">
      <c r="A88" t="s">
        <v>475</v>
      </c>
    </row>
    <row r="89" spans="1:1" x14ac:dyDescent="0.25">
      <c r="A89" t="s">
        <v>476</v>
      </c>
    </row>
    <row r="90" spans="1:1" x14ac:dyDescent="0.25">
      <c r="A90" t="s">
        <v>477</v>
      </c>
    </row>
    <row r="91" spans="1:1" x14ac:dyDescent="0.25">
      <c r="A91" t="s">
        <v>478</v>
      </c>
    </row>
    <row r="92" spans="1:1" x14ac:dyDescent="0.25">
      <c r="A92" t="s">
        <v>479</v>
      </c>
    </row>
    <row r="93" spans="1:1" x14ac:dyDescent="0.25">
      <c r="A93" t="s">
        <v>480</v>
      </c>
    </row>
    <row r="94" spans="1:1" x14ac:dyDescent="0.25">
      <c r="A94" t="s">
        <v>481</v>
      </c>
    </row>
    <row r="95" spans="1:1" x14ac:dyDescent="0.25">
      <c r="A95" t="s">
        <v>482</v>
      </c>
    </row>
    <row r="96" spans="1:1" x14ac:dyDescent="0.25">
      <c r="A96" t="s">
        <v>483</v>
      </c>
    </row>
    <row r="97" spans="1:1" x14ac:dyDescent="0.25">
      <c r="A97" t="s">
        <v>484</v>
      </c>
    </row>
    <row r="98" spans="1:1" x14ac:dyDescent="0.25">
      <c r="A98" t="s">
        <v>485</v>
      </c>
    </row>
    <row r="99" spans="1:1" x14ac:dyDescent="0.25">
      <c r="A99" t="s">
        <v>486</v>
      </c>
    </row>
    <row r="100" spans="1:1" x14ac:dyDescent="0.25">
      <c r="A100" t="s">
        <v>487</v>
      </c>
    </row>
    <row r="101" spans="1:1" x14ac:dyDescent="0.25">
      <c r="A101" t="s">
        <v>488</v>
      </c>
    </row>
    <row r="102" spans="1:1" x14ac:dyDescent="0.25">
      <c r="A102" t="s">
        <v>489</v>
      </c>
    </row>
    <row r="103" spans="1:1" x14ac:dyDescent="0.25">
      <c r="A103" t="s">
        <v>490</v>
      </c>
    </row>
    <row r="104" spans="1:1" x14ac:dyDescent="0.25">
      <c r="A104" t="s">
        <v>491</v>
      </c>
    </row>
    <row r="105" spans="1:1" x14ac:dyDescent="0.25">
      <c r="A105" t="s">
        <v>492</v>
      </c>
    </row>
    <row r="106" spans="1:1" x14ac:dyDescent="0.25">
      <c r="A106" t="s">
        <v>493</v>
      </c>
    </row>
    <row r="107" spans="1:1" x14ac:dyDescent="0.25">
      <c r="A107" t="s">
        <v>494</v>
      </c>
    </row>
    <row r="108" spans="1:1" x14ac:dyDescent="0.25">
      <c r="A108" t="s">
        <v>495</v>
      </c>
    </row>
    <row r="109" spans="1:1" x14ac:dyDescent="0.25">
      <c r="A109" t="s">
        <v>496</v>
      </c>
    </row>
    <row r="110" spans="1:1" x14ac:dyDescent="0.25">
      <c r="A110" t="s">
        <v>497</v>
      </c>
    </row>
    <row r="111" spans="1:1" x14ac:dyDescent="0.25">
      <c r="A111" t="s">
        <v>498</v>
      </c>
    </row>
    <row r="112" spans="1:1" x14ac:dyDescent="0.25">
      <c r="A112" t="s">
        <v>499</v>
      </c>
    </row>
    <row r="113" spans="1:1" x14ac:dyDescent="0.25">
      <c r="A113" t="s">
        <v>500</v>
      </c>
    </row>
    <row r="114" spans="1:1" x14ac:dyDescent="0.25">
      <c r="A114" t="s">
        <v>501</v>
      </c>
    </row>
    <row r="115" spans="1:1" x14ac:dyDescent="0.25">
      <c r="A115" t="s">
        <v>502</v>
      </c>
    </row>
    <row r="116" spans="1:1" x14ac:dyDescent="0.25">
      <c r="A116" t="s">
        <v>503</v>
      </c>
    </row>
    <row r="117" spans="1:1" x14ac:dyDescent="0.25">
      <c r="A117" t="s">
        <v>504</v>
      </c>
    </row>
    <row r="118" spans="1:1" x14ac:dyDescent="0.25">
      <c r="A118" t="s">
        <v>505</v>
      </c>
    </row>
    <row r="119" spans="1:1" x14ac:dyDescent="0.25">
      <c r="A119" t="s">
        <v>506</v>
      </c>
    </row>
    <row r="120" spans="1:1" x14ac:dyDescent="0.25">
      <c r="A120" t="s">
        <v>507</v>
      </c>
    </row>
    <row r="121" spans="1:1" x14ac:dyDescent="0.25">
      <c r="A121" t="s">
        <v>508</v>
      </c>
    </row>
    <row r="122" spans="1:1" x14ac:dyDescent="0.25">
      <c r="A122" t="s">
        <v>509</v>
      </c>
    </row>
    <row r="123" spans="1:1" x14ac:dyDescent="0.25">
      <c r="A123" t="s">
        <v>510</v>
      </c>
    </row>
    <row r="124" spans="1:1" x14ac:dyDescent="0.25">
      <c r="A124" t="s">
        <v>511</v>
      </c>
    </row>
    <row r="125" spans="1:1" x14ac:dyDescent="0.25">
      <c r="A125" t="s">
        <v>512</v>
      </c>
    </row>
    <row r="126" spans="1:1" x14ac:dyDescent="0.25">
      <c r="A126" t="s">
        <v>513</v>
      </c>
    </row>
    <row r="127" spans="1:1" x14ac:dyDescent="0.25">
      <c r="A127" t="s">
        <v>514</v>
      </c>
    </row>
    <row r="128" spans="1:1" x14ac:dyDescent="0.25">
      <c r="A128" t="s">
        <v>515</v>
      </c>
    </row>
    <row r="129" spans="1:1" x14ac:dyDescent="0.25">
      <c r="A129" t="s">
        <v>516</v>
      </c>
    </row>
    <row r="130" spans="1:1" x14ac:dyDescent="0.25">
      <c r="A130" t="s">
        <v>517</v>
      </c>
    </row>
    <row r="131" spans="1:1" x14ac:dyDescent="0.25">
      <c r="A131" t="s">
        <v>518</v>
      </c>
    </row>
    <row r="132" spans="1:1" x14ac:dyDescent="0.25">
      <c r="A132" t="s">
        <v>519</v>
      </c>
    </row>
    <row r="133" spans="1:1" x14ac:dyDescent="0.25">
      <c r="A133" t="s">
        <v>520</v>
      </c>
    </row>
    <row r="134" spans="1:1" x14ac:dyDescent="0.25">
      <c r="A134" t="s">
        <v>521</v>
      </c>
    </row>
    <row r="135" spans="1:1" x14ac:dyDescent="0.25">
      <c r="A135" t="s">
        <v>522</v>
      </c>
    </row>
    <row r="136" spans="1:1" x14ac:dyDescent="0.25">
      <c r="A136" t="s">
        <v>523</v>
      </c>
    </row>
    <row r="137" spans="1:1" x14ac:dyDescent="0.25">
      <c r="A137" t="s">
        <v>524</v>
      </c>
    </row>
    <row r="138" spans="1:1" x14ac:dyDescent="0.25">
      <c r="A138" t="s">
        <v>525</v>
      </c>
    </row>
    <row r="139" spans="1:1" x14ac:dyDescent="0.25">
      <c r="A139" t="s">
        <v>526</v>
      </c>
    </row>
    <row r="140" spans="1:1" x14ac:dyDescent="0.25">
      <c r="A140" t="s">
        <v>527</v>
      </c>
    </row>
    <row r="141" spans="1:1" x14ac:dyDescent="0.25">
      <c r="A141" t="s">
        <v>528</v>
      </c>
    </row>
    <row r="142" spans="1:1" x14ac:dyDescent="0.25">
      <c r="A142" t="s">
        <v>529</v>
      </c>
    </row>
    <row r="143" spans="1:1" x14ac:dyDescent="0.25">
      <c r="A143" t="s">
        <v>530</v>
      </c>
    </row>
    <row r="144" spans="1:1" x14ac:dyDescent="0.25">
      <c r="A144" t="s">
        <v>531</v>
      </c>
    </row>
    <row r="145" spans="1:1" x14ac:dyDescent="0.25">
      <c r="A145" t="s">
        <v>532</v>
      </c>
    </row>
    <row r="146" spans="1:1" x14ac:dyDescent="0.25">
      <c r="A146" t="s">
        <v>533</v>
      </c>
    </row>
    <row r="147" spans="1:1" x14ac:dyDescent="0.25">
      <c r="A147" t="s">
        <v>534</v>
      </c>
    </row>
    <row r="148" spans="1:1" x14ac:dyDescent="0.25">
      <c r="A148" t="s">
        <v>535</v>
      </c>
    </row>
    <row r="149" spans="1:1" x14ac:dyDescent="0.25">
      <c r="A149" t="s">
        <v>536</v>
      </c>
    </row>
    <row r="150" spans="1:1" x14ac:dyDescent="0.25">
      <c r="A150" t="s">
        <v>537</v>
      </c>
    </row>
    <row r="151" spans="1:1" x14ac:dyDescent="0.25">
      <c r="A151" t="s">
        <v>538</v>
      </c>
    </row>
    <row r="152" spans="1:1" x14ac:dyDescent="0.25">
      <c r="A152" t="s">
        <v>539</v>
      </c>
    </row>
    <row r="153" spans="1:1" x14ac:dyDescent="0.25">
      <c r="A153" t="s">
        <v>540</v>
      </c>
    </row>
    <row r="154" spans="1:1" x14ac:dyDescent="0.25">
      <c r="A154" t="s">
        <v>541</v>
      </c>
    </row>
    <row r="155" spans="1:1" x14ac:dyDescent="0.25">
      <c r="A155" t="s">
        <v>542</v>
      </c>
    </row>
    <row r="156" spans="1:1" x14ac:dyDescent="0.25">
      <c r="A156" t="s">
        <v>543</v>
      </c>
    </row>
    <row r="157" spans="1:1" x14ac:dyDescent="0.25">
      <c r="A157" t="s">
        <v>544</v>
      </c>
    </row>
    <row r="158" spans="1:1" x14ac:dyDescent="0.25">
      <c r="A158" t="s">
        <v>545</v>
      </c>
    </row>
    <row r="159" spans="1:1" x14ac:dyDescent="0.25">
      <c r="A159" t="s">
        <v>546</v>
      </c>
    </row>
    <row r="160" spans="1:1" x14ac:dyDescent="0.25">
      <c r="A160" t="s">
        <v>547</v>
      </c>
    </row>
    <row r="161" spans="1:1" x14ac:dyDescent="0.25">
      <c r="A161" t="s">
        <v>548</v>
      </c>
    </row>
    <row r="162" spans="1:1" x14ac:dyDescent="0.25">
      <c r="A162" t="s">
        <v>549</v>
      </c>
    </row>
    <row r="163" spans="1:1" x14ac:dyDescent="0.25">
      <c r="A163" t="s">
        <v>550</v>
      </c>
    </row>
    <row r="164" spans="1:1" x14ac:dyDescent="0.25">
      <c r="A164" t="s">
        <v>551</v>
      </c>
    </row>
    <row r="165" spans="1:1" x14ac:dyDescent="0.25">
      <c r="A165" t="s">
        <v>552</v>
      </c>
    </row>
    <row r="166" spans="1:1" x14ac:dyDescent="0.25">
      <c r="A166" t="s">
        <v>553</v>
      </c>
    </row>
    <row r="167" spans="1:1" x14ac:dyDescent="0.25">
      <c r="A167" t="s">
        <v>554</v>
      </c>
    </row>
    <row r="168" spans="1:1" x14ac:dyDescent="0.25">
      <c r="A168" t="s">
        <v>555</v>
      </c>
    </row>
    <row r="169" spans="1:1" x14ac:dyDescent="0.25">
      <c r="A169" t="s">
        <v>556</v>
      </c>
    </row>
    <row r="170" spans="1:1" x14ac:dyDescent="0.25">
      <c r="A170" t="s">
        <v>557</v>
      </c>
    </row>
    <row r="171" spans="1:1" x14ac:dyDescent="0.25">
      <c r="A171" t="s">
        <v>558</v>
      </c>
    </row>
    <row r="172" spans="1:1" x14ac:dyDescent="0.25">
      <c r="A172" t="s">
        <v>559</v>
      </c>
    </row>
    <row r="173" spans="1:1" x14ac:dyDescent="0.25">
      <c r="A173" t="s">
        <v>560</v>
      </c>
    </row>
    <row r="174" spans="1:1" x14ac:dyDescent="0.25">
      <c r="A174" t="s">
        <v>561</v>
      </c>
    </row>
    <row r="175" spans="1:1" x14ac:dyDescent="0.25">
      <c r="A175" t="s">
        <v>562</v>
      </c>
    </row>
    <row r="176" spans="1:1" x14ac:dyDescent="0.25">
      <c r="A176" t="s">
        <v>563</v>
      </c>
    </row>
    <row r="177" spans="1:1" x14ac:dyDescent="0.25">
      <c r="A177" t="s">
        <v>564</v>
      </c>
    </row>
    <row r="178" spans="1:1" x14ac:dyDescent="0.25">
      <c r="A178" t="s">
        <v>565</v>
      </c>
    </row>
    <row r="179" spans="1:1" x14ac:dyDescent="0.25">
      <c r="A179" t="s">
        <v>566</v>
      </c>
    </row>
    <row r="180" spans="1:1" x14ac:dyDescent="0.25">
      <c r="A180" t="s">
        <v>567</v>
      </c>
    </row>
    <row r="181" spans="1:1" x14ac:dyDescent="0.25">
      <c r="A181" t="s">
        <v>568</v>
      </c>
    </row>
    <row r="182" spans="1:1" x14ac:dyDescent="0.25">
      <c r="A182" t="s">
        <v>569</v>
      </c>
    </row>
    <row r="183" spans="1:1" x14ac:dyDescent="0.25">
      <c r="A183" t="s">
        <v>570</v>
      </c>
    </row>
    <row r="184" spans="1:1" x14ac:dyDescent="0.25">
      <c r="A184" t="s">
        <v>571</v>
      </c>
    </row>
    <row r="185" spans="1:1" x14ac:dyDescent="0.25">
      <c r="A185" t="s">
        <v>572</v>
      </c>
    </row>
    <row r="186" spans="1:1" x14ac:dyDescent="0.25">
      <c r="A186" t="s">
        <v>573</v>
      </c>
    </row>
    <row r="187" spans="1:1" x14ac:dyDescent="0.25">
      <c r="A187" t="s">
        <v>574</v>
      </c>
    </row>
    <row r="188" spans="1:1" x14ac:dyDescent="0.25">
      <c r="A188" t="s">
        <v>575</v>
      </c>
    </row>
    <row r="189" spans="1:1" x14ac:dyDescent="0.25">
      <c r="A189" t="s">
        <v>576</v>
      </c>
    </row>
    <row r="190" spans="1:1" x14ac:dyDescent="0.25">
      <c r="A190" t="s">
        <v>577</v>
      </c>
    </row>
    <row r="191" spans="1:1" x14ac:dyDescent="0.25">
      <c r="A191" t="s">
        <v>578</v>
      </c>
    </row>
    <row r="192" spans="1:1" x14ac:dyDescent="0.25">
      <c r="A192" t="s">
        <v>579</v>
      </c>
    </row>
    <row r="193" spans="1:1" x14ac:dyDescent="0.25">
      <c r="A193" t="s">
        <v>580</v>
      </c>
    </row>
    <row r="194" spans="1:1" x14ac:dyDescent="0.25">
      <c r="A194" t="s">
        <v>581</v>
      </c>
    </row>
    <row r="195" spans="1:1" x14ac:dyDescent="0.25">
      <c r="A195" t="s">
        <v>582</v>
      </c>
    </row>
    <row r="196" spans="1:1" x14ac:dyDescent="0.25">
      <c r="A196" t="s">
        <v>583</v>
      </c>
    </row>
    <row r="197" spans="1:1" x14ac:dyDescent="0.25">
      <c r="A197" t="s">
        <v>584</v>
      </c>
    </row>
    <row r="198" spans="1:1" x14ac:dyDescent="0.25">
      <c r="A198" t="s">
        <v>585</v>
      </c>
    </row>
    <row r="199" spans="1:1" x14ac:dyDescent="0.25">
      <c r="A199" t="s">
        <v>586</v>
      </c>
    </row>
    <row r="200" spans="1:1" x14ac:dyDescent="0.25">
      <c r="A200" t="s">
        <v>587</v>
      </c>
    </row>
    <row r="201" spans="1:1" x14ac:dyDescent="0.25">
      <c r="A201" t="s">
        <v>588</v>
      </c>
    </row>
    <row r="202" spans="1:1" x14ac:dyDescent="0.25">
      <c r="A202" t="s">
        <v>589</v>
      </c>
    </row>
    <row r="203" spans="1:1" x14ac:dyDescent="0.25">
      <c r="A203" t="s">
        <v>590</v>
      </c>
    </row>
    <row r="204" spans="1:1" x14ac:dyDescent="0.25">
      <c r="A204" t="s">
        <v>591</v>
      </c>
    </row>
    <row r="205" spans="1:1" x14ac:dyDescent="0.25">
      <c r="A205" t="s">
        <v>592</v>
      </c>
    </row>
    <row r="206" spans="1:1" x14ac:dyDescent="0.25">
      <c r="A206" t="s">
        <v>593</v>
      </c>
    </row>
    <row r="207" spans="1:1" x14ac:dyDescent="0.25">
      <c r="A207" t="s">
        <v>594</v>
      </c>
    </row>
    <row r="208" spans="1:1" x14ac:dyDescent="0.25">
      <c r="A208" t="s">
        <v>595</v>
      </c>
    </row>
    <row r="209" spans="1:1" x14ac:dyDescent="0.25">
      <c r="A209" t="s">
        <v>596</v>
      </c>
    </row>
    <row r="210" spans="1:1" x14ac:dyDescent="0.25">
      <c r="A210" t="s">
        <v>597</v>
      </c>
    </row>
    <row r="211" spans="1:1" x14ac:dyDescent="0.25">
      <c r="A211" t="s">
        <v>598</v>
      </c>
    </row>
    <row r="212" spans="1:1" x14ac:dyDescent="0.25">
      <c r="A212" t="s">
        <v>599</v>
      </c>
    </row>
    <row r="213" spans="1:1" x14ac:dyDescent="0.25">
      <c r="A213" t="s">
        <v>600</v>
      </c>
    </row>
    <row r="214" spans="1:1" x14ac:dyDescent="0.25">
      <c r="A214" t="s">
        <v>601</v>
      </c>
    </row>
    <row r="215" spans="1:1" x14ac:dyDescent="0.25">
      <c r="A215" t="s">
        <v>602</v>
      </c>
    </row>
    <row r="216" spans="1:1" x14ac:dyDescent="0.25">
      <c r="A216" t="s">
        <v>603</v>
      </c>
    </row>
    <row r="217" spans="1:1" x14ac:dyDescent="0.25">
      <c r="A217" t="s">
        <v>604</v>
      </c>
    </row>
    <row r="218" spans="1:1" x14ac:dyDescent="0.25">
      <c r="A218" t="s">
        <v>605</v>
      </c>
    </row>
    <row r="219" spans="1:1" x14ac:dyDescent="0.25">
      <c r="A219" t="s">
        <v>606</v>
      </c>
    </row>
    <row r="220" spans="1:1" x14ac:dyDescent="0.25">
      <c r="A220" t="s">
        <v>607</v>
      </c>
    </row>
    <row r="221" spans="1:1" x14ac:dyDescent="0.25">
      <c r="A221" t="s">
        <v>608</v>
      </c>
    </row>
    <row r="222" spans="1:1" x14ac:dyDescent="0.25">
      <c r="A222" t="s">
        <v>609</v>
      </c>
    </row>
    <row r="223" spans="1:1" x14ac:dyDescent="0.25">
      <c r="A223" t="s">
        <v>610</v>
      </c>
    </row>
    <row r="224" spans="1:1" x14ac:dyDescent="0.25">
      <c r="A224" t="s">
        <v>611</v>
      </c>
    </row>
    <row r="225" spans="1:1" x14ac:dyDescent="0.25">
      <c r="A225" t="s">
        <v>612</v>
      </c>
    </row>
    <row r="226" spans="1:1" x14ac:dyDescent="0.25">
      <c r="A226" t="s">
        <v>613</v>
      </c>
    </row>
    <row r="227" spans="1:1" x14ac:dyDescent="0.25">
      <c r="A227" t="s">
        <v>614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93"/>
  <sheetViews>
    <sheetView workbookViewId="0">
      <selection activeCell="A2" sqref="A2"/>
    </sheetView>
  </sheetViews>
  <sheetFormatPr defaultRowHeight="15" x14ac:dyDescent="0.25"/>
  <cols>
    <col min="1" max="1" width="39.85546875" bestFit="1" customWidth="1"/>
    <col min="2" max="2" width="40.7109375" bestFit="1" customWidth="1"/>
    <col min="3" max="3" width="24.5703125" bestFit="1" customWidth="1"/>
    <col min="4" max="4" width="39.5703125" bestFit="1" customWidth="1"/>
    <col min="5" max="5" width="12.28515625" bestFit="1" customWidth="1"/>
    <col min="6" max="6" width="12.42578125" bestFit="1" customWidth="1"/>
    <col min="7" max="7" width="19.140625" style="3" bestFit="1" customWidth="1"/>
    <col min="8" max="8" width="19.5703125" style="3" bestFit="1" customWidth="1"/>
    <col min="9" max="9" width="20.140625" bestFit="1" customWidth="1"/>
    <col min="10" max="10" width="8" bestFit="1" customWidth="1"/>
    <col min="11" max="11" width="34.28515625" bestFit="1" customWidth="1"/>
    <col min="12" max="12" width="19.140625" bestFit="1" customWidth="1"/>
    <col min="13" max="13" width="34.28515625" bestFit="1" customWidth="1"/>
    <col min="14" max="14" width="19.140625" bestFit="1" customWidth="1"/>
  </cols>
  <sheetData>
    <row r="1" spans="1:14" s="1" customFormat="1" x14ac:dyDescent="0.25">
      <c r="A1" s="1" t="s">
        <v>8</v>
      </c>
      <c r="B1" s="1" t="s">
        <v>9</v>
      </c>
      <c r="C1" s="1" t="s">
        <v>27</v>
      </c>
      <c r="D1" s="1" t="s">
        <v>28</v>
      </c>
      <c r="E1" s="1" t="s">
        <v>13</v>
      </c>
      <c r="F1" s="1" t="s">
        <v>14</v>
      </c>
      <c r="G1" s="8" t="s">
        <v>15</v>
      </c>
      <c r="H1" s="8" t="s">
        <v>16</v>
      </c>
      <c r="I1" s="1" t="s">
        <v>17</v>
      </c>
      <c r="J1" s="1" t="s">
        <v>18</v>
      </c>
      <c r="K1" s="1" t="s">
        <v>19</v>
      </c>
      <c r="L1" s="4" t="s">
        <v>20</v>
      </c>
      <c r="M1" s="1" t="s">
        <v>21</v>
      </c>
      <c r="N1" s="4" t="s">
        <v>22</v>
      </c>
    </row>
    <row r="2" spans="1:14" x14ac:dyDescent="0.25">
      <c r="A2" t="str">
        <f>GetGuid()</f>
        <v>FED0369F-F6BD-4CB5-A349-AD12436D9967</v>
      </c>
      <c r="B2" t="str">
        <f>Country!A2</f>
        <v>7A216EE8-94B5-4201-AE44-5F256950E593</v>
      </c>
      <c r="C2" s="5" t="s">
        <v>60</v>
      </c>
      <c r="D2" t="str">
        <f>OrganisationV!B$4</f>
        <v>6DC882B6-E0F8-4625-8207-B327FA6F6124</v>
      </c>
      <c r="E2" t="s">
        <v>2</v>
      </c>
      <c r="F2" t="s">
        <v>2</v>
      </c>
      <c r="G2" s="3" t="str">
        <f t="shared" ref="G2:G10" si="0">VLOOKUP("lowdate",DateConstants,2)</f>
        <v>1850-01-01 00:00:00</v>
      </c>
      <c r="H2" s="3" t="str">
        <f t="shared" ref="H2:H9" si="1">VLOOKUP("highdate",DateConstants,2)</f>
        <v>2999-12-31  23:59:59</v>
      </c>
      <c r="I2" s="5" t="s">
        <v>25</v>
      </c>
      <c r="J2" s="5" t="s">
        <v>26</v>
      </c>
      <c r="K2" t="str">
        <f>Constants!$B$4</f>
        <v>administrator@footballoracle.co.uk</v>
      </c>
      <c r="L2" s="2" t="str">
        <f ca="1">TEXT(NOW(), "yyyy-MM-dd hh:mm:ss")</f>
        <v>2014-08-22 08:22:04</v>
      </c>
      <c r="M2" t="str">
        <f>K2</f>
        <v>administrator@footballoracle.co.uk</v>
      </c>
      <c r="N2" s="2" t="str">
        <f t="shared" ref="N2:N65" ca="1" si="2">TEXT(NOW(), "yyyy-MM-dd hh:mm:ss")</f>
        <v>2014-08-22 08:22:04</v>
      </c>
    </row>
    <row r="3" spans="1:14" x14ac:dyDescent="0.25">
      <c r="A3" t="str">
        <f t="shared" ref="A3:A72" si="3">GetGuid()</f>
        <v>4F05FC30-AB05-4DDB-B501-C9A22F2BE4B2</v>
      </c>
      <c r="B3" t="str">
        <f>Country!A3</f>
        <v>73EA6921-38BF-48DB-B0FB-19FB3983E0DA</v>
      </c>
      <c r="C3" s="5" t="s">
        <v>61</v>
      </c>
      <c r="D3" t="str">
        <f>OrganisationV!B$4</f>
        <v>6DC882B6-E0F8-4625-8207-B327FA6F6124</v>
      </c>
      <c r="E3" t="s">
        <v>2</v>
      </c>
      <c r="F3" t="s">
        <v>2</v>
      </c>
      <c r="G3" s="3" t="str">
        <f t="shared" si="0"/>
        <v>1850-01-01 00:00:00</v>
      </c>
      <c r="H3" s="3" t="str">
        <f t="shared" si="1"/>
        <v>2999-12-31  23:59:59</v>
      </c>
      <c r="I3" s="5" t="s">
        <v>25</v>
      </c>
      <c r="J3" s="5" t="s">
        <v>26</v>
      </c>
      <c r="K3" t="str">
        <f>Constants!$B$4</f>
        <v>administrator@footballoracle.co.uk</v>
      </c>
      <c r="L3" s="2" t="str">
        <f t="shared" ref="L3:L72" ca="1" si="4">TEXT(NOW(), "yyyy-MM-dd hh:mm:ss")</f>
        <v>2014-08-22 08:22:04</v>
      </c>
      <c r="M3" t="str">
        <f t="shared" ref="M3:M13" si="5">K3</f>
        <v>administrator@footballoracle.co.uk</v>
      </c>
      <c r="N3" s="2" t="str">
        <f t="shared" ca="1" si="2"/>
        <v>2014-08-22 08:22:04</v>
      </c>
    </row>
    <row r="4" spans="1:14" x14ac:dyDescent="0.25">
      <c r="A4" t="str">
        <f t="shared" si="3"/>
        <v>D2BEBAC1-BDC8-4511-AEF9-54498E7E6556</v>
      </c>
      <c r="B4" t="str">
        <f>Country!A4</f>
        <v>857B78D7-3A25-4917-8D7D-E912F9AF0210</v>
      </c>
      <c r="C4" s="5" t="s">
        <v>62</v>
      </c>
      <c r="D4" t="str">
        <f>OrganisationV!B$4</f>
        <v>6DC882B6-E0F8-4625-8207-B327FA6F6124</v>
      </c>
      <c r="E4" t="s">
        <v>2</v>
      </c>
      <c r="F4" t="s">
        <v>2</v>
      </c>
      <c r="G4" s="3" t="str">
        <f t="shared" si="0"/>
        <v>1850-01-01 00:00:00</v>
      </c>
      <c r="H4" s="3" t="str">
        <f t="shared" si="1"/>
        <v>2999-12-31  23:59:59</v>
      </c>
      <c r="I4" s="5" t="s">
        <v>25</v>
      </c>
      <c r="J4" s="5" t="s">
        <v>26</v>
      </c>
      <c r="K4" t="str">
        <f>Constants!$B$4</f>
        <v>administrator@footballoracle.co.uk</v>
      </c>
      <c r="L4" s="2" t="str">
        <f t="shared" ca="1" si="4"/>
        <v>2014-08-22 08:22:04</v>
      </c>
      <c r="M4" t="str">
        <f t="shared" si="5"/>
        <v>administrator@footballoracle.co.uk</v>
      </c>
      <c r="N4" s="2" t="str">
        <f t="shared" ca="1" si="2"/>
        <v>2014-08-22 08:22:04</v>
      </c>
    </row>
    <row r="5" spans="1:14" x14ac:dyDescent="0.25">
      <c r="A5" t="str">
        <f t="shared" si="3"/>
        <v>C49B4621-113F-4632-B944-B1DF7C961721</v>
      </c>
      <c r="B5" t="str">
        <f>Country!A5</f>
        <v>C0DFA77B-BB7D-4951-BD7C-9CAD726C2CA1</v>
      </c>
      <c r="C5" s="5" t="s">
        <v>63</v>
      </c>
      <c r="D5" t="str">
        <f>OrganisationV!B$4</f>
        <v>6DC882B6-E0F8-4625-8207-B327FA6F6124</v>
      </c>
      <c r="E5" t="s">
        <v>2</v>
      </c>
      <c r="F5" t="s">
        <v>2</v>
      </c>
      <c r="G5" s="3" t="str">
        <f t="shared" si="0"/>
        <v>1850-01-01 00:00:00</v>
      </c>
      <c r="H5" s="3" t="str">
        <f t="shared" si="1"/>
        <v>2999-12-31  23:59:59</v>
      </c>
      <c r="I5" s="5" t="s">
        <v>25</v>
      </c>
      <c r="J5" s="5" t="s">
        <v>26</v>
      </c>
      <c r="K5" t="str">
        <f>Constants!$B$4</f>
        <v>administrator@footballoracle.co.uk</v>
      </c>
      <c r="L5" s="2" t="str">
        <f t="shared" ca="1" si="4"/>
        <v>2014-08-22 08:22:04</v>
      </c>
      <c r="M5" t="str">
        <f t="shared" si="5"/>
        <v>administrator@footballoracle.co.uk</v>
      </c>
      <c r="N5" s="2" t="str">
        <f t="shared" ca="1" si="2"/>
        <v>2014-08-22 08:22:04</v>
      </c>
    </row>
    <row r="6" spans="1:14" x14ac:dyDescent="0.25">
      <c r="A6" t="str">
        <f t="shared" si="3"/>
        <v>01ECCDB0-7DDA-4746-A36D-295A08A85F45</v>
      </c>
      <c r="B6" t="str">
        <f>Country!A6</f>
        <v>01E20D92-EC65-4E7B-A6E2-C073D034C201</v>
      </c>
      <c r="C6" s="5" t="s">
        <v>64</v>
      </c>
      <c r="D6" t="str">
        <f>OrganisationV!B$4</f>
        <v>6DC882B6-E0F8-4625-8207-B327FA6F6124</v>
      </c>
      <c r="E6" t="s">
        <v>2</v>
      </c>
      <c r="F6" t="s">
        <v>2</v>
      </c>
      <c r="G6" s="3" t="str">
        <f t="shared" si="0"/>
        <v>1850-01-01 00:00:00</v>
      </c>
      <c r="H6" s="3" t="str">
        <f t="shared" si="1"/>
        <v>2999-12-31  23:59:59</v>
      </c>
      <c r="I6" s="5" t="s">
        <v>25</v>
      </c>
      <c r="J6" s="5" t="s">
        <v>26</v>
      </c>
      <c r="K6" t="str">
        <f>Constants!$B$4</f>
        <v>administrator@footballoracle.co.uk</v>
      </c>
      <c r="L6" s="2" t="str">
        <f t="shared" ca="1" si="4"/>
        <v>2014-08-22 08:22:04</v>
      </c>
      <c r="M6" t="str">
        <f t="shared" si="5"/>
        <v>administrator@footballoracle.co.uk</v>
      </c>
      <c r="N6" s="2" t="str">
        <f t="shared" ca="1" si="2"/>
        <v>2014-08-22 08:22:04</v>
      </c>
    </row>
    <row r="7" spans="1:14" x14ac:dyDescent="0.25">
      <c r="A7" t="str">
        <f t="shared" si="3"/>
        <v>B961FC06-18C6-48CE-8802-780465ABD361</v>
      </c>
      <c r="B7" t="str">
        <f>Country!A7</f>
        <v>F5899E4D-1BEE-431A-A150-344A7024055B</v>
      </c>
      <c r="C7" s="5" t="s">
        <v>65</v>
      </c>
      <c r="D7" t="str">
        <f>OrganisationV!B$4</f>
        <v>6DC882B6-E0F8-4625-8207-B327FA6F6124</v>
      </c>
      <c r="E7" t="s">
        <v>2</v>
      </c>
      <c r="F7" t="s">
        <v>2</v>
      </c>
      <c r="G7" s="3" t="str">
        <f t="shared" si="0"/>
        <v>1850-01-01 00:00:00</v>
      </c>
      <c r="H7" s="3" t="str">
        <f t="shared" si="1"/>
        <v>2999-12-31  23:59:59</v>
      </c>
      <c r="I7" s="5" t="s">
        <v>25</v>
      </c>
      <c r="J7" s="5" t="s">
        <v>26</v>
      </c>
      <c r="K7" t="str">
        <f>Constants!$B$4</f>
        <v>administrator@footballoracle.co.uk</v>
      </c>
      <c r="L7" s="2" t="str">
        <f t="shared" ca="1" si="4"/>
        <v>2014-08-22 08:22:04</v>
      </c>
      <c r="M7" t="str">
        <f t="shared" si="5"/>
        <v>administrator@footballoracle.co.uk</v>
      </c>
      <c r="N7" s="2" t="str">
        <f t="shared" ca="1" si="2"/>
        <v>2014-08-22 08:22:04</v>
      </c>
    </row>
    <row r="8" spans="1:14" x14ac:dyDescent="0.25">
      <c r="A8" t="str">
        <f t="shared" si="3"/>
        <v>BE7E59C8-4456-4DB8-8EA4-B7F85A4B6094</v>
      </c>
      <c r="B8" t="str">
        <f>Country!A8</f>
        <v>B1091380-FBA5-4A9B-8A54-198CFC682F01</v>
      </c>
      <c r="C8" s="5" t="s">
        <v>66</v>
      </c>
      <c r="D8" t="str">
        <f>OrganisationV!B$4</f>
        <v>6DC882B6-E0F8-4625-8207-B327FA6F6124</v>
      </c>
      <c r="E8" t="s">
        <v>2</v>
      </c>
      <c r="F8" t="s">
        <v>2</v>
      </c>
      <c r="G8" s="3" t="str">
        <f t="shared" si="0"/>
        <v>1850-01-01 00:00:00</v>
      </c>
      <c r="H8" s="3" t="str">
        <f t="shared" si="1"/>
        <v>2999-12-31  23:59:59</v>
      </c>
      <c r="I8" s="5" t="s">
        <v>25</v>
      </c>
      <c r="J8" s="5" t="s">
        <v>26</v>
      </c>
      <c r="K8" t="str">
        <f>Constants!$B$4</f>
        <v>administrator@footballoracle.co.uk</v>
      </c>
      <c r="L8" s="2" t="str">
        <f t="shared" ca="1" si="4"/>
        <v>2014-08-22 08:22:04</v>
      </c>
      <c r="M8" t="str">
        <f t="shared" si="5"/>
        <v>administrator@footballoracle.co.uk</v>
      </c>
      <c r="N8" s="2" t="str">
        <f t="shared" ca="1" si="2"/>
        <v>2014-08-22 08:22:04</v>
      </c>
    </row>
    <row r="9" spans="1:14" x14ac:dyDescent="0.25">
      <c r="A9" t="str">
        <f t="shared" si="3"/>
        <v>55EC4FB7-11C3-416B-AAB5-312D6ED458F0</v>
      </c>
      <c r="B9" t="str">
        <f>Country!A9</f>
        <v>1891A2C8-8228-4456-B7E5-6B881E7CE283</v>
      </c>
      <c r="C9" s="5" t="s">
        <v>67</v>
      </c>
      <c r="D9" t="str">
        <f>OrganisationV!B$4</f>
        <v>6DC882B6-E0F8-4625-8207-B327FA6F6124</v>
      </c>
      <c r="E9" t="s">
        <v>2</v>
      </c>
      <c r="F9" t="s">
        <v>2</v>
      </c>
      <c r="G9" s="3" t="str">
        <f t="shared" si="0"/>
        <v>1850-01-01 00:00:00</v>
      </c>
      <c r="H9" s="3" t="str">
        <f t="shared" si="1"/>
        <v>2999-12-31  23:59:59</v>
      </c>
      <c r="I9" s="5" t="s">
        <v>25</v>
      </c>
      <c r="J9" s="5" t="s">
        <v>26</v>
      </c>
      <c r="K9" t="str">
        <f>Constants!$B$4</f>
        <v>administrator@footballoracle.co.uk</v>
      </c>
      <c r="L9" s="2" t="str">
        <f t="shared" ca="1" si="4"/>
        <v>2014-08-22 08:22:04</v>
      </c>
      <c r="M9" t="str">
        <f t="shared" si="5"/>
        <v>administrator@footballoracle.co.uk</v>
      </c>
      <c r="N9" s="2" t="str">
        <f t="shared" ca="1" si="2"/>
        <v>2014-08-22 08:22:04</v>
      </c>
    </row>
    <row r="10" spans="1:14" x14ac:dyDescent="0.25">
      <c r="A10" t="str">
        <f t="shared" si="3"/>
        <v>7F2A1DB7-23A8-497F-B740-37D747CFCE1B</v>
      </c>
      <c r="B10" t="str">
        <f>Country!A10</f>
        <v>FBCD135D-96B4-48C4-A2AC-158F091BFBB3</v>
      </c>
      <c r="C10" s="5" t="s">
        <v>68</v>
      </c>
      <c r="D10" t="str">
        <f>OrganisationV!B$4</f>
        <v>6DC882B6-E0F8-4625-8207-B327FA6F6124</v>
      </c>
      <c r="E10" t="s">
        <v>2</v>
      </c>
      <c r="F10" t="s">
        <v>2</v>
      </c>
      <c r="G10" s="3" t="str">
        <f t="shared" si="0"/>
        <v>1850-01-01 00:00:00</v>
      </c>
      <c r="H10" s="6" t="s">
        <v>29</v>
      </c>
      <c r="I10" s="5" t="s">
        <v>25</v>
      </c>
      <c r="J10" s="5" t="s">
        <v>26</v>
      </c>
      <c r="K10" t="str">
        <f>Constants!$B$4</f>
        <v>administrator@footballoracle.co.uk</v>
      </c>
      <c r="L10" s="2" t="str">
        <f t="shared" ca="1" si="4"/>
        <v>2014-08-22 08:22:04</v>
      </c>
      <c r="M10" t="str">
        <f t="shared" si="5"/>
        <v>administrator@footballoracle.co.uk</v>
      </c>
      <c r="N10" s="2" t="str">
        <f t="shared" ca="1" si="2"/>
        <v>2014-08-22 08:22:04</v>
      </c>
    </row>
    <row r="11" spans="1:14" x14ac:dyDescent="0.25">
      <c r="A11" t="str">
        <f t="shared" si="3"/>
        <v>51624D2D-B399-4006-8222-775D00D4383B</v>
      </c>
      <c r="B11" t="str">
        <f>B10</f>
        <v>FBCD135D-96B4-48C4-A2AC-158F091BFBB3</v>
      </c>
      <c r="C11" s="5" t="s">
        <v>69</v>
      </c>
      <c r="D11" t="str">
        <f>OrganisationV!B$4</f>
        <v>6DC882B6-E0F8-4625-8207-B327FA6F6124</v>
      </c>
      <c r="E11" t="s">
        <v>2</v>
      </c>
      <c r="F11" t="s">
        <v>2</v>
      </c>
      <c r="G11" s="6" t="s">
        <v>30</v>
      </c>
      <c r="H11" s="3" t="str">
        <f t="shared" ref="H11:H27" si="6">VLOOKUP("highdate",DateConstants,2)</f>
        <v>2999-12-31  23:59:59</v>
      </c>
      <c r="I11" s="5" t="s">
        <v>25</v>
      </c>
      <c r="J11" s="5" t="s">
        <v>26</v>
      </c>
      <c r="K11" t="str">
        <f>Constants!$B$4</f>
        <v>administrator@footballoracle.co.uk</v>
      </c>
      <c r="L11" s="2" t="str">
        <f t="shared" ca="1" si="4"/>
        <v>2014-08-22 08:22:04</v>
      </c>
      <c r="M11" t="str">
        <f t="shared" si="5"/>
        <v>administrator@footballoracle.co.uk</v>
      </c>
      <c r="N11" s="2" t="str">
        <f t="shared" ca="1" si="2"/>
        <v>2014-08-22 08:22:04</v>
      </c>
    </row>
    <row r="12" spans="1:14" x14ac:dyDescent="0.25">
      <c r="A12" t="str">
        <f t="shared" si="3"/>
        <v>3713EDAF-7EE0-4053-B241-56E000F68EF5</v>
      </c>
      <c r="B12" t="str">
        <f>Country!A11</f>
        <v>6F45D4A1-37C1-459D-95D1-6092448B215F</v>
      </c>
      <c r="C12" s="5" t="s">
        <v>70</v>
      </c>
      <c r="D12" t="str">
        <f>OrganisationV!B$4</f>
        <v>6DC882B6-E0F8-4625-8207-B327FA6F6124</v>
      </c>
      <c r="E12" t="s">
        <v>2</v>
      </c>
      <c r="F12" t="s">
        <v>2</v>
      </c>
      <c r="G12" s="3" t="str">
        <f t="shared" ref="G12:G28" si="7">VLOOKUP("lowdate",DateConstants,2)</f>
        <v>1850-01-01 00:00:00</v>
      </c>
      <c r="H12" s="3" t="str">
        <f t="shared" si="6"/>
        <v>2999-12-31  23:59:59</v>
      </c>
      <c r="I12" s="5" t="s">
        <v>25</v>
      </c>
      <c r="J12" s="5" t="s">
        <v>26</v>
      </c>
      <c r="K12" t="str">
        <f>Constants!$B$4</f>
        <v>administrator@footballoracle.co.uk</v>
      </c>
      <c r="L12" s="2" t="str">
        <f t="shared" ca="1" si="4"/>
        <v>2014-08-22 08:22:04</v>
      </c>
      <c r="M12" t="str">
        <f t="shared" si="5"/>
        <v>administrator@footballoracle.co.uk</v>
      </c>
      <c r="N12" s="2" t="str">
        <f t="shared" ca="1" si="2"/>
        <v>2014-08-22 08:22:04</v>
      </c>
    </row>
    <row r="13" spans="1:14" x14ac:dyDescent="0.25">
      <c r="A13" t="str">
        <f t="shared" si="3"/>
        <v>9F4E3DD2-5B80-4649-83E3-84CFDAB3695F</v>
      </c>
      <c r="B13" t="str">
        <f>Country!A12</f>
        <v>B71BACD5-09F2-4857-98D6-BC620065468A</v>
      </c>
      <c r="C13" s="5" t="s">
        <v>71</v>
      </c>
      <c r="D13" t="str">
        <f>OrganisationV!B$4</f>
        <v>6DC882B6-E0F8-4625-8207-B327FA6F6124</v>
      </c>
      <c r="E13" t="s">
        <v>2</v>
      </c>
      <c r="F13" t="s">
        <v>2</v>
      </c>
      <c r="G13" s="3" t="str">
        <f t="shared" si="7"/>
        <v>1850-01-01 00:00:00</v>
      </c>
      <c r="H13" s="3" t="str">
        <f t="shared" si="6"/>
        <v>2999-12-31  23:59:59</v>
      </c>
      <c r="I13" s="5" t="s">
        <v>25</v>
      </c>
      <c r="J13" s="5" t="s">
        <v>26</v>
      </c>
      <c r="K13" t="str">
        <f>Constants!$B$4</f>
        <v>administrator@footballoracle.co.uk</v>
      </c>
      <c r="L13" s="2" t="str">
        <f t="shared" ca="1" si="4"/>
        <v>2014-08-22 08:22:04</v>
      </c>
      <c r="M13" t="str">
        <f t="shared" si="5"/>
        <v>administrator@footballoracle.co.uk</v>
      </c>
      <c r="N13" s="2" t="str">
        <f t="shared" ca="1" si="2"/>
        <v>2014-08-22 08:22:04</v>
      </c>
    </row>
    <row r="14" spans="1:14" x14ac:dyDescent="0.25">
      <c r="A14" t="str">
        <f t="shared" si="3"/>
        <v>1968F0EC-5CB6-4679-84E0-9DEA6977C4D2</v>
      </c>
      <c r="B14" t="str">
        <f>Country!A13</f>
        <v>A8D01246-4635-4B70-B804-C5952753E5D6</v>
      </c>
      <c r="C14" s="5" t="s">
        <v>72</v>
      </c>
      <c r="D14" t="str">
        <f>OrganisationV!B$4</f>
        <v>6DC882B6-E0F8-4625-8207-B327FA6F6124</v>
      </c>
      <c r="E14" t="s">
        <v>2</v>
      </c>
      <c r="F14" t="s">
        <v>2</v>
      </c>
      <c r="G14" s="3" t="str">
        <f t="shared" si="7"/>
        <v>1850-01-01 00:00:00</v>
      </c>
      <c r="H14" s="3" t="str">
        <f t="shared" si="6"/>
        <v>2999-12-31  23:59:59</v>
      </c>
      <c r="I14" s="5" t="s">
        <v>25</v>
      </c>
      <c r="J14" s="5" t="s">
        <v>26</v>
      </c>
      <c r="K14" t="str">
        <f>Constants!$B$4</f>
        <v>administrator@footballoracle.co.uk</v>
      </c>
      <c r="L14" s="2" t="str">
        <f t="shared" ca="1" si="4"/>
        <v>2014-08-22 08:22:04</v>
      </c>
      <c r="M14" t="str">
        <f t="shared" ref="M14" si="8">K14</f>
        <v>administrator@footballoracle.co.uk</v>
      </c>
      <c r="N14" s="2" t="str">
        <f t="shared" ca="1" si="2"/>
        <v>2014-08-22 08:22:04</v>
      </c>
    </row>
    <row r="15" spans="1:14" x14ac:dyDescent="0.25">
      <c r="A15" t="str">
        <f t="shared" si="3"/>
        <v>983A74CE-E223-47F4-8D07-2D6F508CFCD3</v>
      </c>
      <c r="B15" t="str">
        <f>Country!A14</f>
        <v>EA56E4AE-5CA9-4CBC-9B15-A81F254B9BE6</v>
      </c>
      <c r="C15" s="5" t="s">
        <v>73</v>
      </c>
      <c r="D15" t="str">
        <f>OrganisationV!B$5</f>
        <v>0D4915E6-6723-46C3-8760-0B15BF48D43E</v>
      </c>
      <c r="E15" t="s">
        <v>2</v>
      </c>
      <c r="F15" t="s">
        <v>2</v>
      </c>
      <c r="G15" s="3" t="str">
        <f t="shared" si="7"/>
        <v>1850-01-01 00:00:00</v>
      </c>
      <c r="H15" s="3" t="str">
        <f t="shared" si="6"/>
        <v>2999-12-31  23:59:59</v>
      </c>
      <c r="I15" s="5" t="s">
        <v>25</v>
      </c>
      <c r="J15" s="5" t="s">
        <v>26</v>
      </c>
      <c r="K15" t="str">
        <f>Constants!$B$4</f>
        <v>administrator@footballoracle.co.uk</v>
      </c>
      <c r="L15" s="2" t="str">
        <f t="shared" ca="1" si="4"/>
        <v>2014-08-22 08:22:04</v>
      </c>
      <c r="M15" t="str">
        <f t="shared" ref="M15:M25" si="9">K15</f>
        <v>administrator@footballoracle.co.uk</v>
      </c>
      <c r="N15" s="2" t="str">
        <f t="shared" ca="1" si="2"/>
        <v>2014-08-22 08:22:04</v>
      </c>
    </row>
    <row r="16" spans="1:14" x14ac:dyDescent="0.25">
      <c r="A16" t="str">
        <f t="shared" si="3"/>
        <v>1DE79DA2-634A-4005-9AF4-95B18131122F</v>
      </c>
      <c r="B16" t="str">
        <f>Country!A15</f>
        <v>2A3EE82E-8BA9-47B7-8B37-C6B5F6F7FB39</v>
      </c>
      <c r="C16" s="5" t="s">
        <v>74</v>
      </c>
      <c r="D16" t="str">
        <f>OrganisationV!B$5</f>
        <v>0D4915E6-6723-46C3-8760-0B15BF48D43E</v>
      </c>
      <c r="E16" t="s">
        <v>2</v>
      </c>
      <c r="F16" t="s">
        <v>2</v>
      </c>
      <c r="G16" s="3" t="str">
        <f t="shared" si="7"/>
        <v>1850-01-01 00:00:00</v>
      </c>
      <c r="H16" s="3" t="str">
        <f t="shared" si="6"/>
        <v>2999-12-31  23:59:59</v>
      </c>
      <c r="I16" s="5" t="s">
        <v>25</v>
      </c>
      <c r="J16" s="5" t="s">
        <v>26</v>
      </c>
      <c r="K16" t="str">
        <f>Constants!$B$4</f>
        <v>administrator@footballoracle.co.uk</v>
      </c>
      <c r="L16" s="2" t="str">
        <f t="shared" ca="1" si="4"/>
        <v>2014-08-22 08:22:04</v>
      </c>
      <c r="M16" t="str">
        <f t="shared" si="9"/>
        <v>administrator@footballoracle.co.uk</v>
      </c>
      <c r="N16" s="2" t="str">
        <f t="shared" ca="1" si="2"/>
        <v>2014-08-22 08:22:04</v>
      </c>
    </row>
    <row r="17" spans="1:14" x14ac:dyDescent="0.25">
      <c r="A17" t="str">
        <f t="shared" si="3"/>
        <v>71BEBE69-59EB-4D02-9DA7-11A5BD3C90F3</v>
      </c>
      <c r="B17" t="str">
        <f>Country!A16</f>
        <v>13DE66AD-985D-4941-93E9-E2E034D6C03E</v>
      </c>
      <c r="C17" s="5" t="s">
        <v>75</v>
      </c>
      <c r="D17" t="str">
        <f>OrganisationV!B$5</f>
        <v>0D4915E6-6723-46C3-8760-0B15BF48D43E</v>
      </c>
      <c r="E17" t="s">
        <v>2</v>
      </c>
      <c r="F17" t="s">
        <v>2</v>
      </c>
      <c r="G17" s="3" t="str">
        <f t="shared" si="7"/>
        <v>1850-01-01 00:00:00</v>
      </c>
      <c r="H17" s="3" t="str">
        <f t="shared" si="6"/>
        <v>2999-12-31  23:59:59</v>
      </c>
      <c r="I17" s="5" t="s">
        <v>25</v>
      </c>
      <c r="J17" s="5" t="s">
        <v>26</v>
      </c>
      <c r="K17" t="str">
        <f>Constants!$B$4</f>
        <v>administrator@footballoracle.co.uk</v>
      </c>
      <c r="L17" s="2" t="str">
        <f t="shared" ca="1" si="4"/>
        <v>2014-08-22 08:22:04</v>
      </c>
      <c r="M17" t="str">
        <f t="shared" si="9"/>
        <v>administrator@footballoracle.co.uk</v>
      </c>
      <c r="N17" s="2" t="str">
        <f t="shared" ca="1" si="2"/>
        <v>2014-08-22 08:22:04</v>
      </c>
    </row>
    <row r="18" spans="1:14" x14ac:dyDescent="0.25">
      <c r="A18" t="str">
        <f t="shared" si="3"/>
        <v>C1B4E5BE-0B4B-4B84-8FC3-AD926F896B97</v>
      </c>
      <c r="B18" t="str">
        <f>Country!A17</f>
        <v>337AFC0B-5A10-4273-80A0-08BE98077B61</v>
      </c>
      <c r="C18" s="5" t="s">
        <v>76</v>
      </c>
      <c r="D18" t="str">
        <f>OrganisationV!B$5</f>
        <v>0D4915E6-6723-46C3-8760-0B15BF48D43E</v>
      </c>
      <c r="E18" t="s">
        <v>2</v>
      </c>
      <c r="F18" t="s">
        <v>2</v>
      </c>
      <c r="G18" s="3" t="str">
        <f t="shared" si="7"/>
        <v>1850-01-01 00:00:00</v>
      </c>
      <c r="H18" s="3" t="str">
        <f t="shared" si="6"/>
        <v>2999-12-31  23:59:59</v>
      </c>
      <c r="I18" s="5" t="s">
        <v>25</v>
      </c>
      <c r="J18" s="5" t="s">
        <v>26</v>
      </c>
      <c r="K18" t="str">
        <f>Constants!$B$4</f>
        <v>administrator@footballoracle.co.uk</v>
      </c>
      <c r="L18" s="2" t="str">
        <f t="shared" ca="1" si="4"/>
        <v>2014-08-22 08:22:04</v>
      </c>
      <c r="M18" t="str">
        <f t="shared" si="9"/>
        <v>administrator@footballoracle.co.uk</v>
      </c>
      <c r="N18" s="2" t="str">
        <f t="shared" ca="1" si="2"/>
        <v>2014-08-22 08:22:04</v>
      </c>
    </row>
    <row r="19" spans="1:14" x14ac:dyDescent="0.25">
      <c r="A19" t="str">
        <f t="shared" si="3"/>
        <v>6D5D9387-8FFF-4401-8F7B-3F13DAFD9453</v>
      </c>
      <c r="B19" t="str">
        <f>Country!A18</f>
        <v>82A6AC58-C330-49B7-A6C8-0DEC24BB43DD</v>
      </c>
      <c r="C19" s="5" t="s">
        <v>77</v>
      </c>
      <c r="D19" t="str">
        <f>OrganisationV!B$5</f>
        <v>0D4915E6-6723-46C3-8760-0B15BF48D43E</v>
      </c>
      <c r="E19" t="s">
        <v>2</v>
      </c>
      <c r="F19" t="s">
        <v>2</v>
      </c>
      <c r="G19" s="3" t="str">
        <f t="shared" si="7"/>
        <v>1850-01-01 00:00:00</v>
      </c>
      <c r="H19" s="3" t="str">
        <f t="shared" si="6"/>
        <v>2999-12-31  23:59:59</v>
      </c>
      <c r="I19" s="5" t="s">
        <v>25</v>
      </c>
      <c r="J19" s="5" t="s">
        <v>26</v>
      </c>
      <c r="K19" t="str">
        <f>Constants!$B$4</f>
        <v>administrator@footballoracle.co.uk</v>
      </c>
      <c r="L19" s="2" t="str">
        <f t="shared" ca="1" si="4"/>
        <v>2014-08-22 08:22:04</v>
      </c>
      <c r="M19" t="str">
        <f t="shared" si="9"/>
        <v>administrator@footballoracle.co.uk</v>
      </c>
      <c r="N19" s="2" t="str">
        <f t="shared" ca="1" si="2"/>
        <v>2014-08-22 08:22:04</v>
      </c>
    </row>
    <row r="20" spans="1:14" x14ac:dyDescent="0.25">
      <c r="A20" t="str">
        <f t="shared" si="3"/>
        <v>8A231DD8-AD14-4DFD-80A5-A7A5BDCE4CA3</v>
      </c>
      <c r="B20" t="str">
        <f>Country!A19</f>
        <v>94F8C87D-B078-490B-914F-A6563AAC193E</v>
      </c>
      <c r="C20" s="5" t="s">
        <v>78</v>
      </c>
      <c r="D20" t="str">
        <f>OrganisationV!B$5</f>
        <v>0D4915E6-6723-46C3-8760-0B15BF48D43E</v>
      </c>
      <c r="E20" t="s">
        <v>2</v>
      </c>
      <c r="F20" t="s">
        <v>2</v>
      </c>
      <c r="G20" s="3" t="str">
        <f t="shared" si="7"/>
        <v>1850-01-01 00:00:00</v>
      </c>
      <c r="H20" s="3" t="str">
        <f t="shared" si="6"/>
        <v>2999-12-31  23:59:59</v>
      </c>
      <c r="I20" s="5" t="s">
        <v>25</v>
      </c>
      <c r="J20" s="5" t="s">
        <v>26</v>
      </c>
      <c r="K20" t="str">
        <f>Constants!$B$4</f>
        <v>administrator@footballoracle.co.uk</v>
      </c>
      <c r="L20" s="2" t="str">
        <f t="shared" ca="1" si="4"/>
        <v>2014-08-22 08:22:04</v>
      </c>
      <c r="M20" t="str">
        <f t="shared" si="9"/>
        <v>administrator@footballoracle.co.uk</v>
      </c>
      <c r="N20" s="2" t="str">
        <f t="shared" ca="1" si="2"/>
        <v>2014-08-22 08:22:04</v>
      </c>
    </row>
    <row r="21" spans="1:14" x14ac:dyDescent="0.25">
      <c r="A21" t="str">
        <f t="shared" si="3"/>
        <v>4F7107EA-F944-49E2-A8CE-1EA1B7D106E7</v>
      </c>
      <c r="B21" t="str">
        <f>Country!A20</f>
        <v>2D4BC576-AD3B-4EF2-9198-9F4384541422</v>
      </c>
      <c r="C21" s="5" t="s">
        <v>79</v>
      </c>
      <c r="D21" t="str">
        <f>OrganisationV!B$5</f>
        <v>0D4915E6-6723-46C3-8760-0B15BF48D43E</v>
      </c>
      <c r="E21" t="s">
        <v>2</v>
      </c>
      <c r="F21" t="s">
        <v>2</v>
      </c>
      <c r="G21" s="3" t="str">
        <f t="shared" si="7"/>
        <v>1850-01-01 00:00:00</v>
      </c>
      <c r="H21" s="3" t="str">
        <f t="shared" si="6"/>
        <v>2999-12-31  23:59:59</v>
      </c>
      <c r="I21" s="5" t="s">
        <v>25</v>
      </c>
      <c r="J21" s="5" t="s">
        <v>26</v>
      </c>
      <c r="K21" t="str">
        <f>Constants!$B$4</f>
        <v>administrator@footballoracle.co.uk</v>
      </c>
      <c r="L21" s="2" t="str">
        <f t="shared" ca="1" si="4"/>
        <v>2014-08-22 08:22:04</v>
      </c>
      <c r="M21" t="str">
        <f t="shared" si="9"/>
        <v>administrator@footballoracle.co.uk</v>
      </c>
      <c r="N21" s="2" t="str">
        <f t="shared" ca="1" si="2"/>
        <v>2014-08-22 08:22:04</v>
      </c>
    </row>
    <row r="22" spans="1:14" x14ac:dyDescent="0.25">
      <c r="A22" t="str">
        <f t="shared" si="3"/>
        <v>A41C6240-8FBF-48B1-9457-1F16EA001713</v>
      </c>
      <c r="B22" t="str">
        <f>Country!A21</f>
        <v>92EDA3CE-E8A0-4CD2-93EA-B3EE88833630</v>
      </c>
      <c r="C22" s="5" t="s">
        <v>80</v>
      </c>
      <c r="D22" t="str">
        <f>OrganisationV!B$5</f>
        <v>0D4915E6-6723-46C3-8760-0B15BF48D43E</v>
      </c>
      <c r="E22" t="s">
        <v>2</v>
      </c>
      <c r="F22" t="s">
        <v>2</v>
      </c>
      <c r="G22" s="3" t="str">
        <f t="shared" si="7"/>
        <v>1850-01-01 00:00:00</v>
      </c>
      <c r="H22" s="3" t="str">
        <f t="shared" si="6"/>
        <v>2999-12-31  23:59:59</v>
      </c>
      <c r="I22" s="5" t="s">
        <v>25</v>
      </c>
      <c r="J22" s="5" t="s">
        <v>26</v>
      </c>
      <c r="K22" t="str">
        <f>Constants!$B$4</f>
        <v>administrator@footballoracle.co.uk</v>
      </c>
      <c r="L22" s="2" t="str">
        <f t="shared" ca="1" si="4"/>
        <v>2014-08-22 08:22:04</v>
      </c>
      <c r="M22" t="str">
        <f t="shared" si="9"/>
        <v>administrator@footballoracle.co.uk</v>
      </c>
      <c r="N22" s="2" t="str">
        <f t="shared" ca="1" si="2"/>
        <v>2014-08-22 08:22:04</v>
      </c>
    </row>
    <row r="23" spans="1:14" x14ac:dyDescent="0.25">
      <c r="A23" t="str">
        <f t="shared" si="3"/>
        <v>AAB79ED7-4D35-4BE1-88A7-7128C5098DCC</v>
      </c>
      <c r="B23" t="str">
        <f>Country!A22</f>
        <v>E682CA0D-09C6-4605-A010-00D05AAC76F8</v>
      </c>
      <c r="C23" s="5" t="s">
        <v>81</v>
      </c>
      <c r="D23" t="str">
        <f>OrganisationV!B$5</f>
        <v>0D4915E6-6723-46C3-8760-0B15BF48D43E</v>
      </c>
      <c r="E23" t="s">
        <v>2</v>
      </c>
      <c r="F23" t="s">
        <v>2</v>
      </c>
      <c r="G23" s="3" t="str">
        <f t="shared" si="7"/>
        <v>1850-01-01 00:00:00</v>
      </c>
      <c r="H23" s="3" t="str">
        <f t="shared" si="6"/>
        <v>2999-12-31  23:59:59</v>
      </c>
      <c r="I23" s="5" t="s">
        <v>25</v>
      </c>
      <c r="J23" s="5" t="s">
        <v>26</v>
      </c>
      <c r="K23" t="str">
        <f>Constants!$B$4</f>
        <v>administrator@footballoracle.co.uk</v>
      </c>
      <c r="L23" s="2" t="str">
        <f t="shared" ca="1" si="4"/>
        <v>2014-08-22 08:22:04</v>
      </c>
      <c r="M23" t="str">
        <f t="shared" si="9"/>
        <v>administrator@footballoracle.co.uk</v>
      </c>
      <c r="N23" s="2" t="str">
        <f t="shared" ca="1" si="2"/>
        <v>2014-08-22 08:22:04</v>
      </c>
    </row>
    <row r="24" spans="1:14" x14ac:dyDescent="0.25">
      <c r="A24" t="str">
        <f t="shared" si="3"/>
        <v>B04AEDCC-86CB-4F26-8313-F20F26C1B79C</v>
      </c>
      <c r="B24" t="str">
        <f>Country!A23</f>
        <v>915BE111-53AE-40E6-8282-857C285A408E</v>
      </c>
      <c r="C24" s="5" t="s">
        <v>82</v>
      </c>
      <c r="D24" t="str">
        <f>OrganisationV!B$5</f>
        <v>0D4915E6-6723-46C3-8760-0B15BF48D43E</v>
      </c>
      <c r="E24" t="s">
        <v>2</v>
      </c>
      <c r="F24" t="s">
        <v>2</v>
      </c>
      <c r="G24" s="3" t="str">
        <f t="shared" si="7"/>
        <v>1850-01-01 00:00:00</v>
      </c>
      <c r="H24" s="3" t="str">
        <f t="shared" si="6"/>
        <v>2999-12-31  23:59:59</v>
      </c>
      <c r="I24" s="5" t="s">
        <v>25</v>
      </c>
      <c r="J24" s="5" t="s">
        <v>26</v>
      </c>
      <c r="K24" t="str">
        <f>Constants!$B$4</f>
        <v>administrator@footballoracle.co.uk</v>
      </c>
      <c r="L24" s="2" t="str">
        <f t="shared" ca="1" si="4"/>
        <v>2014-08-22 08:22:04</v>
      </c>
      <c r="M24" t="str">
        <f t="shared" si="9"/>
        <v>administrator@footballoracle.co.uk</v>
      </c>
      <c r="N24" s="2" t="str">
        <f t="shared" ca="1" si="2"/>
        <v>2014-08-22 08:22:04</v>
      </c>
    </row>
    <row r="25" spans="1:14" x14ac:dyDescent="0.25">
      <c r="A25" t="str">
        <f t="shared" si="3"/>
        <v>06B46466-8E37-423D-9118-B1B239D74961</v>
      </c>
      <c r="B25" t="str">
        <f>Country!A24</f>
        <v>E548D07F-7D08-4BBF-A004-3693B794EF28</v>
      </c>
      <c r="C25" s="5" t="s">
        <v>83</v>
      </c>
      <c r="D25" t="str">
        <f>OrganisationV!B$5</f>
        <v>0D4915E6-6723-46C3-8760-0B15BF48D43E</v>
      </c>
      <c r="E25" t="s">
        <v>2</v>
      </c>
      <c r="F25" t="s">
        <v>2</v>
      </c>
      <c r="G25" s="3" t="str">
        <f t="shared" si="7"/>
        <v>1850-01-01 00:00:00</v>
      </c>
      <c r="H25" s="3" t="str">
        <f t="shared" si="6"/>
        <v>2999-12-31  23:59:59</v>
      </c>
      <c r="I25" s="5" t="s">
        <v>25</v>
      </c>
      <c r="J25" s="5" t="s">
        <v>26</v>
      </c>
      <c r="K25" t="str">
        <f>Constants!$B$4</f>
        <v>administrator@footballoracle.co.uk</v>
      </c>
      <c r="L25" s="2" t="str">
        <f t="shared" ca="1" si="4"/>
        <v>2014-08-22 08:22:04</v>
      </c>
      <c r="M25" t="str">
        <f t="shared" si="9"/>
        <v>administrator@footballoracle.co.uk</v>
      </c>
      <c r="N25" s="2" t="str">
        <f t="shared" ca="1" si="2"/>
        <v>2014-08-22 08:22:04</v>
      </c>
    </row>
    <row r="26" spans="1:14" x14ac:dyDescent="0.25">
      <c r="A26" t="str">
        <f t="shared" si="3"/>
        <v>755A5701-FECC-4952-BB0A-28DDB1D7B53D</v>
      </c>
      <c r="B26" t="str">
        <f>Country!A25</f>
        <v>D671203D-FB4F-4252-A52E-702A30C02CD0</v>
      </c>
      <c r="C26" s="5" t="s">
        <v>84</v>
      </c>
      <c r="D26" t="str">
        <f>OrganisationV!B$6</f>
        <v>65B9106F-4418-433F-9EBA-B91FB5ECA86F</v>
      </c>
      <c r="E26" t="s">
        <v>2</v>
      </c>
      <c r="F26" t="s">
        <v>2</v>
      </c>
      <c r="G26" s="3" t="str">
        <f t="shared" si="7"/>
        <v>1850-01-01 00:00:00</v>
      </c>
      <c r="H26" s="3" t="str">
        <f t="shared" si="6"/>
        <v>2999-12-31  23:59:59</v>
      </c>
      <c r="I26" s="5" t="s">
        <v>25</v>
      </c>
      <c r="J26" s="5" t="s">
        <v>26</v>
      </c>
      <c r="K26" t="str">
        <f>Constants!$B$4</f>
        <v>administrator@footballoracle.co.uk</v>
      </c>
      <c r="L26" s="2" t="str">
        <f t="shared" ca="1" si="4"/>
        <v>2014-08-22 08:22:04</v>
      </c>
      <c r="M26" t="str">
        <f t="shared" ref="M26" si="10">K26</f>
        <v>administrator@footballoracle.co.uk</v>
      </c>
      <c r="N26" s="2" t="str">
        <f t="shared" ca="1" si="2"/>
        <v>2014-08-22 08:22:04</v>
      </c>
    </row>
    <row r="27" spans="1:14" x14ac:dyDescent="0.25">
      <c r="A27" t="str">
        <f t="shared" si="3"/>
        <v>0D818068-0080-41C2-AF84-600004541CB6</v>
      </c>
      <c r="B27" t="str">
        <f>Country!A26</f>
        <v>107960CE-3176-4383-8A96-1ACB075F1585</v>
      </c>
      <c r="C27" s="5" t="s">
        <v>85</v>
      </c>
      <c r="D27" t="str">
        <f>OrganisationV!B$6</f>
        <v>65B9106F-4418-433F-9EBA-B91FB5ECA86F</v>
      </c>
      <c r="E27" t="s">
        <v>2</v>
      </c>
      <c r="F27" t="s">
        <v>2</v>
      </c>
      <c r="G27" s="3" t="str">
        <f t="shared" si="7"/>
        <v>1850-01-01 00:00:00</v>
      </c>
      <c r="H27" s="3" t="str">
        <f t="shared" si="6"/>
        <v>2999-12-31  23:59:59</v>
      </c>
      <c r="I27" s="5" t="s">
        <v>25</v>
      </c>
      <c r="J27" s="5" t="s">
        <v>26</v>
      </c>
      <c r="K27" t="str">
        <f>Constants!$B$4</f>
        <v>administrator@footballoracle.co.uk</v>
      </c>
      <c r="L27" s="2" t="str">
        <f t="shared" ca="1" si="4"/>
        <v>2014-08-22 08:22:04</v>
      </c>
      <c r="M27" t="str">
        <f t="shared" ref="M27:M45" si="11">K27</f>
        <v>administrator@footballoracle.co.uk</v>
      </c>
      <c r="N27" s="2" t="str">
        <f t="shared" ca="1" si="2"/>
        <v>2014-08-22 08:22:04</v>
      </c>
    </row>
    <row r="28" spans="1:14" x14ac:dyDescent="0.25">
      <c r="A28" t="str">
        <f t="shared" si="3"/>
        <v>38C46CFE-AB28-4877-8168-E1F2FAD28065</v>
      </c>
      <c r="B28" t="str">
        <f>Country!A27</f>
        <v>EDF4A065-37D9-4CFB-8912-4A1903BE67E9</v>
      </c>
      <c r="C28" s="5" t="s">
        <v>86</v>
      </c>
      <c r="D28" t="str">
        <f>OrganisationV!B$6</f>
        <v>65B9106F-4418-433F-9EBA-B91FB5ECA86F</v>
      </c>
      <c r="E28" t="s">
        <v>2</v>
      </c>
      <c r="F28" t="s">
        <v>2</v>
      </c>
      <c r="G28" s="3" t="str">
        <f t="shared" si="7"/>
        <v>1850-01-01 00:00:00</v>
      </c>
      <c r="H28" s="3">
        <v>25727.999988425927</v>
      </c>
      <c r="I28" s="5" t="s">
        <v>25</v>
      </c>
      <c r="J28" s="5" t="s">
        <v>26</v>
      </c>
      <c r="K28" t="str">
        <f>Constants!$B$4</f>
        <v>administrator@footballoracle.co.uk</v>
      </c>
      <c r="L28" s="2" t="str">
        <f t="shared" ca="1" si="4"/>
        <v>2014-08-22 08:22:04</v>
      </c>
      <c r="M28" t="str">
        <f t="shared" si="11"/>
        <v>administrator@footballoracle.co.uk</v>
      </c>
      <c r="N28" s="2" t="str">
        <f t="shared" ca="1" si="2"/>
        <v>2014-08-22 08:22:04</v>
      </c>
    </row>
    <row r="29" spans="1:14" x14ac:dyDescent="0.25">
      <c r="A29" t="str">
        <f t="shared" si="3"/>
        <v>885B82D1-DAD4-4D34-91A8-6A26DA252815</v>
      </c>
      <c r="B29" t="str">
        <f>B28</f>
        <v>EDF4A065-37D9-4CFB-8912-4A1903BE67E9</v>
      </c>
      <c r="C29" s="5" t="s">
        <v>87</v>
      </c>
      <c r="D29" t="str">
        <f>OrganisationV!B$6</f>
        <v>65B9106F-4418-433F-9EBA-B91FB5ECA86F</v>
      </c>
      <c r="E29" t="s">
        <v>2</v>
      </c>
      <c r="F29" t="s">
        <v>2</v>
      </c>
      <c r="G29" s="3">
        <v>25728</v>
      </c>
      <c r="H29" s="3">
        <v>27553.999988425927</v>
      </c>
      <c r="I29" s="5" t="s">
        <v>25</v>
      </c>
      <c r="J29" s="5" t="s">
        <v>26</v>
      </c>
      <c r="K29" t="str">
        <f>Constants!$B$4</f>
        <v>administrator@footballoracle.co.uk</v>
      </c>
      <c r="L29" s="2" t="str">
        <f t="shared" ca="1" si="4"/>
        <v>2014-08-22 08:22:04</v>
      </c>
      <c r="M29" t="str">
        <f t="shared" si="11"/>
        <v>administrator@footballoracle.co.uk</v>
      </c>
      <c r="N29" s="2" t="str">
        <f t="shared" ca="1" si="2"/>
        <v>2014-08-22 08:22:04</v>
      </c>
    </row>
    <row r="30" spans="1:14" x14ac:dyDescent="0.25">
      <c r="A30" t="str">
        <f t="shared" si="3"/>
        <v>F0C0ACDB-718C-4044-B435-67BF9502890B</v>
      </c>
      <c r="B30" t="str">
        <f>B28</f>
        <v>EDF4A065-37D9-4CFB-8912-4A1903BE67E9</v>
      </c>
      <c r="C30" s="5" t="s">
        <v>88</v>
      </c>
      <c r="D30" t="str">
        <f>OrganisationV!B$6</f>
        <v>65B9106F-4418-433F-9EBA-B91FB5ECA86F</v>
      </c>
      <c r="E30" t="s">
        <v>2</v>
      </c>
      <c r="F30" t="s">
        <v>2</v>
      </c>
      <c r="G30" s="3">
        <v>27554</v>
      </c>
      <c r="H30" s="3">
        <v>29014.999988425927</v>
      </c>
      <c r="I30" s="5" t="s">
        <v>25</v>
      </c>
      <c r="J30" s="5" t="s">
        <v>26</v>
      </c>
      <c r="K30" t="str">
        <f>Constants!$B$4</f>
        <v>administrator@footballoracle.co.uk</v>
      </c>
      <c r="L30" s="2" t="str">
        <f t="shared" ca="1" si="4"/>
        <v>2014-08-22 08:22:04</v>
      </c>
      <c r="M30" t="str">
        <f t="shared" si="11"/>
        <v>administrator@footballoracle.co.uk</v>
      </c>
      <c r="N30" s="2" t="str">
        <f t="shared" ca="1" si="2"/>
        <v>2014-08-22 08:22:04</v>
      </c>
    </row>
    <row r="31" spans="1:14" x14ac:dyDescent="0.25">
      <c r="A31" t="str">
        <f t="shared" si="3"/>
        <v>7D71A9A4-A225-4B8E-9EAE-366199626930</v>
      </c>
      <c r="B31" t="str">
        <f>B28</f>
        <v>EDF4A065-37D9-4CFB-8912-4A1903BE67E9</v>
      </c>
      <c r="C31" s="5" t="s">
        <v>86</v>
      </c>
      <c r="D31" t="str">
        <f>OrganisationV!B$6</f>
        <v>65B9106F-4418-433F-9EBA-B91FB5ECA86F</v>
      </c>
      <c r="E31" t="s">
        <v>2</v>
      </c>
      <c r="F31" t="s">
        <v>2</v>
      </c>
      <c r="G31" s="3">
        <v>29015</v>
      </c>
      <c r="H31" s="3" t="str">
        <f>VLOOKUP("highdate",DateConstants,2)</f>
        <v>2999-12-31  23:59:59</v>
      </c>
      <c r="I31" s="5" t="s">
        <v>25</v>
      </c>
      <c r="J31" s="5" t="s">
        <v>26</v>
      </c>
      <c r="K31" t="str">
        <f>Constants!$B$4</f>
        <v>administrator@footballoracle.co.uk</v>
      </c>
      <c r="L31" s="2" t="str">
        <f t="shared" ca="1" si="4"/>
        <v>2014-08-22 08:22:04</v>
      </c>
      <c r="M31" t="str">
        <f t="shared" si="11"/>
        <v>administrator@footballoracle.co.uk</v>
      </c>
      <c r="N31" s="2" t="str">
        <f t="shared" ca="1" si="2"/>
        <v>2014-08-22 08:22:04</v>
      </c>
    </row>
    <row r="32" spans="1:14" x14ac:dyDescent="0.25">
      <c r="A32" t="str">
        <f t="shared" si="3"/>
        <v>EABCE67A-C493-4E23-9415-81E2C95099F2</v>
      </c>
      <c r="B32" t="str">
        <f>Country!A28</f>
        <v>DB68DE4D-3E25-4906-922E-D900E3C8E3A0</v>
      </c>
      <c r="C32" s="5" t="s">
        <v>89</v>
      </c>
      <c r="D32" t="str">
        <f>OrganisationV!B$6</f>
        <v>65B9106F-4418-433F-9EBA-B91FB5ECA86F</v>
      </c>
      <c r="E32" t="s">
        <v>2</v>
      </c>
      <c r="F32" t="s">
        <v>2</v>
      </c>
      <c r="G32" s="3" t="str">
        <f>VLOOKUP("lowdate",DateConstants,2)</f>
        <v>1850-01-01 00:00:00</v>
      </c>
      <c r="H32" s="3">
        <v>16596.999988425927</v>
      </c>
      <c r="I32" s="5" t="s">
        <v>25</v>
      </c>
      <c r="J32" s="5" t="s">
        <v>26</v>
      </c>
      <c r="K32" t="str">
        <f>Constants!$B$4</f>
        <v>administrator@footballoracle.co.uk</v>
      </c>
      <c r="L32" s="2" t="str">
        <f t="shared" ca="1" si="4"/>
        <v>2014-08-22 08:22:04</v>
      </c>
      <c r="M32" t="str">
        <f t="shared" si="11"/>
        <v>administrator@footballoracle.co.uk</v>
      </c>
      <c r="N32" s="2" t="str">
        <f t="shared" ca="1" si="2"/>
        <v>2014-08-22 08:22:04</v>
      </c>
    </row>
    <row r="33" spans="1:14" x14ac:dyDescent="0.25">
      <c r="A33" t="str">
        <f t="shared" si="3"/>
        <v>D4C11FCE-5A46-4CFB-9820-EB4E7A850A72</v>
      </c>
      <c r="B33" t="str">
        <f>B32</f>
        <v>DB68DE4D-3E25-4906-922E-D900E3C8E3A0</v>
      </c>
      <c r="C33" s="5" t="s">
        <v>90</v>
      </c>
      <c r="D33" t="str">
        <f>OrganisationV!B$6</f>
        <v>65B9106F-4418-433F-9EBA-B91FB5ECA86F</v>
      </c>
      <c r="E33" t="s">
        <v>2</v>
      </c>
      <c r="F33" t="s">
        <v>2</v>
      </c>
      <c r="G33" s="3">
        <v>16597</v>
      </c>
      <c r="H33" s="3" t="str">
        <f>VLOOKUP("highdate",DateConstants,2)</f>
        <v>2999-12-31  23:59:59</v>
      </c>
      <c r="I33" s="5" t="s">
        <v>25</v>
      </c>
      <c r="J33" s="5" t="s">
        <v>26</v>
      </c>
      <c r="K33" t="str">
        <f>Constants!$B$4</f>
        <v>administrator@footballoracle.co.uk</v>
      </c>
      <c r="L33" s="2" t="str">
        <f t="shared" ca="1" si="4"/>
        <v>2014-08-22 08:22:04</v>
      </c>
      <c r="M33" t="str">
        <f t="shared" si="11"/>
        <v>administrator@footballoracle.co.uk</v>
      </c>
      <c r="N33" s="2" t="str">
        <f t="shared" ca="1" si="2"/>
        <v>2014-08-22 08:22:04</v>
      </c>
    </row>
    <row r="34" spans="1:14" x14ac:dyDescent="0.25">
      <c r="A34" t="str">
        <f t="shared" si="3"/>
        <v>FB9C8F2E-8545-41FC-B4BD-A3F3E83D8C2C</v>
      </c>
      <c r="B34" t="str">
        <f>Country!A29</f>
        <v>435D1271-61D2-4CB0-A820-92F71C67A441</v>
      </c>
      <c r="C34" s="5" t="s">
        <v>91</v>
      </c>
      <c r="D34" t="str">
        <f>OrganisationV!B$6</f>
        <v>65B9106F-4418-433F-9EBA-B91FB5ECA86F</v>
      </c>
      <c r="E34" t="s">
        <v>2</v>
      </c>
      <c r="F34" t="s">
        <v>2</v>
      </c>
      <c r="G34" s="3" t="str">
        <f>VLOOKUP("lowdate",DateConstants,2)</f>
        <v>1850-01-01 00:00:00</v>
      </c>
      <c r="H34" s="3" t="str">
        <f>VLOOKUP("highdate",DateConstants,2)</f>
        <v>2999-12-31  23:59:59</v>
      </c>
      <c r="I34" s="5" t="s">
        <v>25</v>
      </c>
      <c r="J34" s="5" t="s">
        <v>26</v>
      </c>
      <c r="K34" t="str">
        <f>Constants!$B$4</f>
        <v>administrator@footballoracle.co.uk</v>
      </c>
      <c r="L34" s="2" t="str">
        <f t="shared" ca="1" si="4"/>
        <v>2014-08-22 08:22:04</v>
      </c>
      <c r="M34" t="str">
        <f t="shared" si="11"/>
        <v>administrator@footballoracle.co.uk</v>
      </c>
      <c r="N34" s="2" t="str">
        <f t="shared" ca="1" si="2"/>
        <v>2014-08-22 08:22:04</v>
      </c>
    </row>
    <row r="35" spans="1:14" x14ac:dyDescent="0.25">
      <c r="A35" t="str">
        <f t="shared" si="3"/>
        <v>308B1D21-AB8D-4714-A032-1FF9A3CDA5FA</v>
      </c>
      <c r="B35" t="str">
        <f>Country!A30</f>
        <v>D088A090-52D6-4993-A23F-D2E3AC8EED10</v>
      </c>
      <c r="C35" s="5" t="s">
        <v>92</v>
      </c>
      <c r="D35" t="str">
        <f>OrganisationV!B$6</f>
        <v>65B9106F-4418-433F-9EBA-B91FB5ECA86F</v>
      </c>
      <c r="E35" t="s">
        <v>2</v>
      </c>
      <c r="F35" t="s">
        <v>2</v>
      </c>
      <c r="G35" s="3" t="str">
        <f>VLOOKUP("lowdate",DateConstants,2)</f>
        <v>1850-01-01 00:00:00</v>
      </c>
      <c r="H35" s="3">
        <v>23170.999988425927</v>
      </c>
      <c r="I35" s="5" t="s">
        <v>25</v>
      </c>
      <c r="J35" s="5" t="s">
        <v>26</v>
      </c>
      <c r="K35" t="str">
        <f>Constants!$B$4</f>
        <v>administrator@footballoracle.co.uk</v>
      </c>
      <c r="L35" s="2" t="str">
        <f t="shared" ca="1" si="4"/>
        <v>2014-08-22 08:22:04</v>
      </c>
      <c r="M35" t="str">
        <f t="shared" si="11"/>
        <v>administrator@footballoracle.co.uk</v>
      </c>
      <c r="N35" s="2" t="str">
        <f t="shared" ca="1" si="2"/>
        <v>2014-08-22 08:22:04</v>
      </c>
    </row>
    <row r="36" spans="1:14" x14ac:dyDescent="0.25">
      <c r="A36" t="str">
        <f t="shared" si="3"/>
        <v>103B7B5F-A97E-482D-B25C-91DE630C1FF0</v>
      </c>
      <c r="B36" t="str">
        <f>B35</f>
        <v>D088A090-52D6-4993-A23F-D2E3AC8EED10</v>
      </c>
      <c r="C36" s="5" t="s">
        <v>93</v>
      </c>
      <c r="D36" t="str">
        <f>OrganisationV!B$6</f>
        <v>65B9106F-4418-433F-9EBA-B91FB5ECA86F</v>
      </c>
      <c r="E36" t="s">
        <v>2</v>
      </c>
      <c r="F36" t="s">
        <v>2</v>
      </c>
      <c r="G36" s="3">
        <v>23171</v>
      </c>
      <c r="H36" s="3" t="str">
        <f>VLOOKUP("highdate",DateConstants,2)</f>
        <v>2999-12-31  23:59:59</v>
      </c>
      <c r="I36" s="5" t="s">
        <v>25</v>
      </c>
      <c r="J36" s="5" t="s">
        <v>26</v>
      </c>
      <c r="K36" t="str">
        <f>Constants!$B$4</f>
        <v>administrator@footballoracle.co.uk</v>
      </c>
      <c r="L36" s="2" t="str">
        <f t="shared" ca="1" si="4"/>
        <v>2014-08-22 08:22:04</v>
      </c>
      <c r="M36" t="str">
        <f t="shared" si="11"/>
        <v>administrator@footballoracle.co.uk</v>
      </c>
      <c r="N36" s="2" t="str">
        <f t="shared" ca="1" si="2"/>
        <v>2014-08-22 08:22:04</v>
      </c>
    </row>
    <row r="37" spans="1:14" x14ac:dyDescent="0.25">
      <c r="A37" t="str">
        <f t="shared" si="3"/>
        <v>5CB9799E-5AD7-4395-8377-F2FA58555C22</v>
      </c>
      <c r="B37" t="str">
        <f>Country!A31</f>
        <v>16D5F4E4-754F-4E31-B3B7-9F6CE37A82F8</v>
      </c>
      <c r="C37" s="5" t="s">
        <v>94</v>
      </c>
      <c r="D37" t="str">
        <f>OrganisationV!B$6</f>
        <v>65B9106F-4418-433F-9EBA-B91FB5ECA86F</v>
      </c>
      <c r="E37" t="s">
        <v>2</v>
      </c>
      <c r="F37" t="s">
        <v>2</v>
      </c>
      <c r="G37" s="3" t="str">
        <f>VLOOKUP("lowdate",DateConstants,2)</f>
        <v>1850-01-01 00:00:00</v>
      </c>
      <c r="H37" s="3">
        <v>32667.999988425927</v>
      </c>
      <c r="I37" s="5" t="s">
        <v>25</v>
      </c>
      <c r="J37" s="5" t="s">
        <v>26</v>
      </c>
      <c r="K37" t="str">
        <f>Constants!$B$4</f>
        <v>administrator@footballoracle.co.uk</v>
      </c>
      <c r="L37" s="2" t="str">
        <f t="shared" ca="1" si="4"/>
        <v>2014-08-22 08:22:04</v>
      </c>
      <c r="M37" t="str">
        <f t="shared" si="11"/>
        <v>administrator@footballoracle.co.uk</v>
      </c>
      <c r="N37" s="2" t="str">
        <f t="shared" ca="1" si="2"/>
        <v>2014-08-22 08:22:04</v>
      </c>
    </row>
    <row r="38" spans="1:14" x14ac:dyDescent="0.25">
      <c r="A38" t="str">
        <f t="shared" si="3"/>
        <v>D94F4927-B8D3-4D02-86CC-B25390CE3B35</v>
      </c>
      <c r="B38" t="str">
        <f>B37</f>
        <v>16D5F4E4-754F-4E31-B3B7-9F6CE37A82F8</v>
      </c>
      <c r="C38" s="5" t="s">
        <v>95</v>
      </c>
      <c r="D38" t="str">
        <f>OrganisationV!B$6</f>
        <v>65B9106F-4418-433F-9EBA-B91FB5ECA86F</v>
      </c>
      <c r="E38" t="s">
        <v>2</v>
      </c>
      <c r="F38" t="s">
        <v>2</v>
      </c>
      <c r="G38" s="3">
        <v>32668</v>
      </c>
      <c r="H38" s="3" t="str">
        <f t="shared" ref="H38:H43" si="12">VLOOKUP("highdate",DateConstants,2)</f>
        <v>2999-12-31  23:59:59</v>
      </c>
      <c r="I38" s="5" t="s">
        <v>25</v>
      </c>
      <c r="J38" s="5" t="s">
        <v>26</v>
      </c>
      <c r="K38" t="str">
        <f>Constants!$B$4</f>
        <v>administrator@footballoracle.co.uk</v>
      </c>
      <c r="L38" s="2" t="str">
        <f t="shared" ca="1" si="4"/>
        <v>2014-08-22 08:22:04</v>
      </c>
      <c r="M38" t="str">
        <f t="shared" si="11"/>
        <v>administrator@footballoracle.co.uk</v>
      </c>
      <c r="N38" s="2" t="str">
        <f t="shared" ca="1" si="2"/>
        <v>2014-08-22 08:22:04</v>
      </c>
    </row>
    <row r="39" spans="1:14" x14ac:dyDescent="0.25">
      <c r="A39" t="str">
        <f t="shared" si="3"/>
        <v>65446EC2-5EE3-4F81-9997-6DE5CD286906</v>
      </c>
      <c r="B39" t="str">
        <f>Country!A32</f>
        <v>0DAEFFA9-E13F-4CC1-A991-211CBA9229AC</v>
      </c>
      <c r="C39" s="5" t="s">
        <v>96</v>
      </c>
      <c r="D39" t="str">
        <f>OrganisationV!B$6</f>
        <v>65B9106F-4418-433F-9EBA-B91FB5ECA86F</v>
      </c>
      <c r="E39" t="s">
        <v>2</v>
      </c>
      <c r="F39" t="s">
        <v>2</v>
      </c>
      <c r="G39" s="3" t="str">
        <f t="shared" ref="G39:G44" si="13">VLOOKUP("lowdate",DateConstants,2)</f>
        <v>1850-01-01 00:00:00</v>
      </c>
      <c r="H39" s="3" t="str">
        <f t="shared" si="12"/>
        <v>2999-12-31  23:59:59</v>
      </c>
      <c r="I39" s="5" t="s">
        <v>25</v>
      </c>
      <c r="J39" s="5" t="s">
        <v>26</v>
      </c>
      <c r="K39" t="str">
        <f>Constants!$B$4</f>
        <v>administrator@footballoracle.co.uk</v>
      </c>
      <c r="L39" s="2" t="str">
        <f t="shared" ca="1" si="4"/>
        <v>2014-08-22 08:22:04</v>
      </c>
      <c r="M39" t="str">
        <f t="shared" si="11"/>
        <v>administrator@footballoracle.co.uk</v>
      </c>
      <c r="N39" s="2" t="str">
        <f t="shared" ca="1" si="2"/>
        <v>2014-08-22 08:22:04</v>
      </c>
    </row>
    <row r="40" spans="1:14" x14ac:dyDescent="0.25">
      <c r="A40" t="str">
        <f t="shared" si="3"/>
        <v>54BDE5D8-78DA-4E85-AB7E-3D51C83E9EB3</v>
      </c>
      <c r="B40" t="str">
        <f>Country!A33</f>
        <v>C8EE9359-8CCD-4C5E-A4CD-09F5C5A89391</v>
      </c>
      <c r="C40" s="5" t="s">
        <v>97</v>
      </c>
      <c r="D40" t="str">
        <f>OrganisationV!B$6</f>
        <v>65B9106F-4418-433F-9EBA-B91FB5ECA86F</v>
      </c>
      <c r="E40" t="s">
        <v>2</v>
      </c>
      <c r="F40" t="s">
        <v>2</v>
      </c>
      <c r="G40" s="3" t="str">
        <f t="shared" si="13"/>
        <v>1850-01-01 00:00:00</v>
      </c>
      <c r="H40" s="3" t="str">
        <f t="shared" si="12"/>
        <v>2999-12-31  23:59:59</v>
      </c>
      <c r="I40" s="5" t="s">
        <v>25</v>
      </c>
      <c r="J40" s="5" t="s">
        <v>26</v>
      </c>
      <c r="K40" t="str">
        <f>Constants!$B$4</f>
        <v>administrator@footballoracle.co.uk</v>
      </c>
      <c r="L40" s="2" t="str">
        <f t="shared" ca="1" si="4"/>
        <v>2014-08-22 08:22:04</v>
      </c>
      <c r="M40" t="str">
        <f t="shared" si="11"/>
        <v>administrator@footballoracle.co.uk</v>
      </c>
      <c r="N40" s="2" t="str">
        <f t="shared" ca="1" si="2"/>
        <v>2014-08-22 08:22:04</v>
      </c>
    </row>
    <row r="41" spans="1:14" x14ac:dyDescent="0.25">
      <c r="A41" t="str">
        <f t="shared" si="3"/>
        <v>98037AD5-F131-4DB4-BAE8-F85FEADC3BDC</v>
      </c>
      <c r="B41" t="str">
        <f>Country!A34</f>
        <v>E2A330FF-3152-4566-8AE9-8E3FC0034015</v>
      </c>
      <c r="C41" s="5" t="s">
        <v>98</v>
      </c>
      <c r="D41" t="str">
        <f>OrganisationV!B$6</f>
        <v>65B9106F-4418-433F-9EBA-B91FB5ECA86F</v>
      </c>
      <c r="E41" t="s">
        <v>2</v>
      </c>
      <c r="F41" t="s">
        <v>2</v>
      </c>
      <c r="G41" s="3" t="str">
        <f t="shared" si="13"/>
        <v>1850-01-01 00:00:00</v>
      </c>
      <c r="H41" s="3" t="str">
        <f t="shared" si="12"/>
        <v>2999-12-31  23:59:59</v>
      </c>
      <c r="I41" s="5" t="s">
        <v>25</v>
      </c>
      <c r="J41" s="5" t="s">
        <v>26</v>
      </c>
      <c r="K41" t="str">
        <f>Constants!$B$4</f>
        <v>administrator@footballoracle.co.uk</v>
      </c>
      <c r="L41" s="2" t="str">
        <f t="shared" ca="1" si="4"/>
        <v>2014-08-22 08:22:04</v>
      </c>
      <c r="M41" t="str">
        <f t="shared" si="11"/>
        <v>administrator@footballoracle.co.uk</v>
      </c>
      <c r="N41" s="2" t="str">
        <f t="shared" ca="1" si="2"/>
        <v>2014-08-22 08:22:04</v>
      </c>
    </row>
    <row r="42" spans="1:14" x14ac:dyDescent="0.25">
      <c r="A42" t="str">
        <f t="shared" si="3"/>
        <v>FAD03356-7811-43CF-BD5B-C10ED9A689B2</v>
      </c>
      <c r="B42" t="str">
        <f>Country!A35</f>
        <v>5369B3C1-9715-4DF8-9B11-6E0694B02553</v>
      </c>
      <c r="C42" s="5" t="s">
        <v>99</v>
      </c>
      <c r="D42" t="str">
        <f>OrganisationV!B$6</f>
        <v>65B9106F-4418-433F-9EBA-B91FB5ECA86F</v>
      </c>
      <c r="E42" t="s">
        <v>2</v>
      </c>
      <c r="F42" t="s">
        <v>2</v>
      </c>
      <c r="G42" s="3" t="str">
        <f t="shared" si="13"/>
        <v>1850-01-01 00:00:00</v>
      </c>
      <c r="H42" s="3" t="str">
        <f t="shared" si="12"/>
        <v>2999-12-31  23:59:59</v>
      </c>
      <c r="I42" s="5" t="s">
        <v>25</v>
      </c>
      <c r="J42" s="5" t="s">
        <v>26</v>
      </c>
      <c r="K42" t="str">
        <f>Constants!$B$4</f>
        <v>administrator@footballoracle.co.uk</v>
      </c>
      <c r="L42" s="2" t="str">
        <f t="shared" ca="1" si="4"/>
        <v>2014-08-22 08:22:04</v>
      </c>
      <c r="M42" t="str">
        <f t="shared" si="11"/>
        <v>administrator@footballoracle.co.uk</v>
      </c>
      <c r="N42" s="2" t="str">
        <f t="shared" ca="1" si="2"/>
        <v>2014-08-22 08:22:04</v>
      </c>
    </row>
    <row r="43" spans="1:14" x14ac:dyDescent="0.25">
      <c r="A43" t="str">
        <f t="shared" si="3"/>
        <v>5D813A6A-038C-45C0-A51D-6785A26EE58B</v>
      </c>
      <c r="B43" t="str">
        <f>Country!A36</f>
        <v>3DBA7361-45B6-478F-BE86-D164AD45122C</v>
      </c>
      <c r="C43" s="5" t="s">
        <v>100</v>
      </c>
      <c r="D43" t="str">
        <f>OrganisationV!B$6</f>
        <v>65B9106F-4418-433F-9EBA-B91FB5ECA86F</v>
      </c>
      <c r="E43" t="s">
        <v>2</v>
      </c>
      <c r="F43" t="s">
        <v>2</v>
      </c>
      <c r="G43" s="3" t="str">
        <f t="shared" si="13"/>
        <v>1850-01-01 00:00:00</v>
      </c>
      <c r="H43" s="3" t="str">
        <f t="shared" si="12"/>
        <v>2999-12-31  23:59:59</v>
      </c>
      <c r="I43" s="5" t="s">
        <v>25</v>
      </c>
      <c r="J43" s="5" t="s">
        <v>26</v>
      </c>
      <c r="K43" t="str">
        <f>Constants!$B$4</f>
        <v>administrator@footballoracle.co.uk</v>
      </c>
      <c r="L43" s="2" t="str">
        <f t="shared" ca="1" si="4"/>
        <v>2014-08-22 08:22:04</v>
      </c>
      <c r="M43" t="str">
        <f t="shared" si="11"/>
        <v>administrator@footballoracle.co.uk</v>
      </c>
      <c r="N43" s="2" t="str">
        <f t="shared" ca="1" si="2"/>
        <v>2014-08-22 08:22:04</v>
      </c>
    </row>
    <row r="44" spans="1:14" x14ac:dyDescent="0.25">
      <c r="A44" t="str">
        <f t="shared" si="3"/>
        <v>A0216D22-F624-4532-AA1B-D4DEA3F9B031</v>
      </c>
      <c r="B44" t="str">
        <f>Country!A37</f>
        <v>D5FD635E-285E-4D63-84CA-7B568B375BB4</v>
      </c>
      <c r="C44" s="5" t="s">
        <v>101</v>
      </c>
      <c r="D44" t="str">
        <f>OrganisationV!B$6</f>
        <v>65B9106F-4418-433F-9EBA-B91FB5ECA86F</v>
      </c>
      <c r="E44" t="s">
        <v>2</v>
      </c>
      <c r="F44" t="s">
        <v>2</v>
      </c>
      <c r="G44" s="3" t="str">
        <f t="shared" si="13"/>
        <v>1850-01-01 00:00:00</v>
      </c>
      <c r="H44" s="3">
        <v>27553.999988425927</v>
      </c>
      <c r="I44" s="5" t="s">
        <v>25</v>
      </c>
      <c r="J44" s="5" t="s">
        <v>26</v>
      </c>
      <c r="K44" t="str">
        <f>Constants!$B$4</f>
        <v>administrator@footballoracle.co.uk</v>
      </c>
      <c r="L44" s="2" t="str">
        <f t="shared" ca="1" si="4"/>
        <v>2014-08-22 08:22:04</v>
      </c>
      <c r="M44" t="str">
        <f t="shared" si="11"/>
        <v>administrator@footballoracle.co.uk</v>
      </c>
      <c r="N44" s="2" t="str">
        <f t="shared" ca="1" si="2"/>
        <v>2014-08-22 08:22:04</v>
      </c>
    </row>
    <row r="45" spans="1:14" x14ac:dyDescent="0.25">
      <c r="A45" t="str">
        <f t="shared" si="3"/>
        <v>DF0EC9F5-6079-4626-95A9-2D0891ADC688</v>
      </c>
      <c r="B45" t="str">
        <f>B44</f>
        <v>D5FD635E-285E-4D63-84CA-7B568B375BB4</v>
      </c>
      <c r="C45" s="5" t="s">
        <v>102</v>
      </c>
      <c r="D45" t="str">
        <f>OrganisationV!B$6</f>
        <v>65B9106F-4418-433F-9EBA-B91FB5ECA86F</v>
      </c>
      <c r="E45" t="s">
        <v>2</v>
      </c>
      <c r="F45" t="s">
        <v>2</v>
      </c>
      <c r="G45" s="3">
        <v>27554</v>
      </c>
      <c r="H45" s="3" t="str">
        <f t="shared" ref="H45:H66" si="14">VLOOKUP("highdate",DateConstants,2)</f>
        <v>2999-12-31  23:59:59</v>
      </c>
      <c r="I45" s="5" t="s">
        <v>25</v>
      </c>
      <c r="J45" s="5" t="s">
        <v>26</v>
      </c>
      <c r="K45" t="str">
        <f>Constants!$B$4</f>
        <v>administrator@footballoracle.co.uk</v>
      </c>
      <c r="L45" s="2" t="str">
        <f t="shared" ca="1" si="4"/>
        <v>2014-08-22 08:22:04</v>
      </c>
      <c r="M45" t="str">
        <f t="shared" si="11"/>
        <v>administrator@footballoracle.co.uk</v>
      </c>
      <c r="N45" s="2" t="str">
        <f t="shared" ca="1" si="2"/>
        <v>2014-08-22 08:22:04</v>
      </c>
    </row>
    <row r="46" spans="1:14" x14ac:dyDescent="0.25">
      <c r="A46" t="str">
        <f t="shared" si="3"/>
        <v>0B31A10F-6D7E-493B-A2AD-09636E5E86A4</v>
      </c>
      <c r="B46" t="str">
        <f>Country!A38</f>
        <v>7069494C-DB35-4875-A545-4FAF842FF77A</v>
      </c>
      <c r="C46" s="5" t="s">
        <v>103</v>
      </c>
      <c r="D46" t="str">
        <f>OrganisationV!B$7</f>
        <v>88BD6E26-1CE8-4B5A-A798-72B2C534757D</v>
      </c>
      <c r="E46" t="s">
        <v>2</v>
      </c>
      <c r="F46" t="s">
        <v>2</v>
      </c>
      <c r="G46" s="3" t="str">
        <f t="shared" ref="G46:G67" si="15">VLOOKUP("lowdate",DateConstants,2)</f>
        <v>1850-01-01 00:00:00</v>
      </c>
      <c r="H46" s="3" t="str">
        <f t="shared" si="14"/>
        <v>2999-12-31  23:59:59</v>
      </c>
      <c r="I46" s="5" t="s">
        <v>25</v>
      </c>
      <c r="J46" s="5" t="s">
        <v>26</v>
      </c>
      <c r="K46" t="str">
        <f>Constants!$B$4</f>
        <v>administrator@footballoracle.co.uk</v>
      </c>
      <c r="L46" s="2" t="str">
        <f t="shared" ca="1" si="4"/>
        <v>2014-08-22 08:22:04</v>
      </c>
      <c r="M46" t="str">
        <f t="shared" ref="M46" si="16">K46</f>
        <v>administrator@footballoracle.co.uk</v>
      </c>
      <c r="N46" s="2" t="str">
        <f t="shared" ca="1" si="2"/>
        <v>2014-08-22 08:22:04</v>
      </c>
    </row>
    <row r="47" spans="1:14" x14ac:dyDescent="0.25">
      <c r="A47" t="str">
        <f t="shared" si="3"/>
        <v>CE23FF3C-443E-4437-B3A7-6B5199110881</v>
      </c>
      <c r="B47" t="str">
        <f>Country!A39</f>
        <v>3E356F89-553A-4467-A8B6-AF0BC0673A6F</v>
      </c>
      <c r="C47" s="5" t="s">
        <v>104</v>
      </c>
      <c r="D47" t="str">
        <f>OrganisationV!B$7</f>
        <v>88BD6E26-1CE8-4B5A-A798-72B2C534757D</v>
      </c>
      <c r="E47" t="s">
        <v>2</v>
      </c>
      <c r="F47" t="s">
        <v>2</v>
      </c>
      <c r="G47" s="3" t="str">
        <f t="shared" si="15"/>
        <v>1850-01-01 00:00:00</v>
      </c>
      <c r="H47" s="3" t="str">
        <f t="shared" si="14"/>
        <v>2999-12-31  23:59:59</v>
      </c>
      <c r="I47" s="5" t="s">
        <v>25</v>
      </c>
      <c r="J47" s="5" t="s">
        <v>26</v>
      </c>
      <c r="K47" t="str">
        <f>Constants!$B$4</f>
        <v>administrator@footballoracle.co.uk</v>
      </c>
      <c r="L47" s="2" t="str">
        <f t="shared" ca="1" si="4"/>
        <v>2014-08-22 08:22:04</v>
      </c>
      <c r="M47" t="str">
        <f t="shared" ref="M47:M59" si="17">K47</f>
        <v>administrator@footballoracle.co.uk</v>
      </c>
      <c r="N47" s="2" t="str">
        <f t="shared" ca="1" si="2"/>
        <v>2014-08-22 08:22:04</v>
      </c>
    </row>
    <row r="48" spans="1:14" x14ac:dyDescent="0.25">
      <c r="A48" t="str">
        <f t="shared" si="3"/>
        <v>1F3A5248-7613-4CE1-8B90-0A37ED258C75</v>
      </c>
      <c r="B48" t="str">
        <f>Country!A40</f>
        <v>09D52DEB-FE88-4B76-A671-6B194771CB2C</v>
      </c>
      <c r="C48" s="5" t="s">
        <v>105</v>
      </c>
      <c r="D48" t="str">
        <f>OrganisationV!B$7</f>
        <v>88BD6E26-1CE8-4B5A-A798-72B2C534757D</v>
      </c>
      <c r="E48" t="s">
        <v>2</v>
      </c>
      <c r="F48" t="s">
        <v>2</v>
      </c>
      <c r="G48" s="3" t="str">
        <f t="shared" si="15"/>
        <v>1850-01-01 00:00:00</v>
      </c>
      <c r="H48" s="3" t="str">
        <f t="shared" si="14"/>
        <v>2999-12-31  23:59:59</v>
      </c>
      <c r="I48" s="5" t="s">
        <v>25</v>
      </c>
      <c r="J48" s="5" t="s">
        <v>26</v>
      </c>
      <c r="K48" t="str">
        <f>Constants!$B$4</f>
        <v>administrator@footballoracle.co.uk</v>
      </c>
      <c r="L48" s="2" t="str">
        <f t="shared" ca="1" si="4"/>
        <v>2014-08-22 08:22:04</v>
      </c>
      <c r="M48" t="str">
        <f t="shared" si="17"/>
        <v>administrator@footballoracle.co.uk</v>
      </c>
      <c r="N48" s="2" t="str">
        <f t="shared" ca="1" si="2"/>
        <v>2014-08-22 08:22:04</v>
      </c>
    </row>
    <row r="49" spans="1:14" x14ac:dyDescent="0.25">
      <c r="A49" t="str">
        <f t="shared" si="3"/>
        <v>E81DB0F2-03CE-4EA7-AECB-A27E3F0E1524</v>
      </c>
      <c r="B49" t="str">
        <f>Country!A41</f>
        <v>DD746CF8-253F-4DAF-9F16-598D1DD87097</v>
      </c>
      <c r="C49" s="5" t="s">
        <v>106</v>
      </c>
      <c r="D49" t="str">
        <f>OrganisationV!B$7</f>
        <v>88BD6E26-1CE8-4B5A-A798-72B2C534757D</v>
      </c>
      <c r="E49" t="s">
        <v>2</v>
      </c>
      <c r="F49" t="s">
        <v>2</v>
      </c>
      <c r="G49" s="3" t="str">
        <f t="shared" si="15"/>
        <v>1850-01-01 00:00:00</v>
      </c>
      <c r="H49" s="3" t="str">
        <f t="shared" si="14"/>
        <v>2999-12-31  23:59:59</v>
      </c>
      <c r="I49" s="5" t="s">
        <v>25</v>
      </c>
      <c r="J49" s="5" t="s">
        <v>26</v>
      </c>
      <c r="K49" t="str">
        <f>Constants!$B$4</f>
        <v>administrator@footballoracle.co.uk</v>
      </c>
      <c r="L49" s="2" t="str">
        <f t="shared" ca="1" si="4"/>
        <v>2014-08-22 08:22:04</v>
      </c>
      <c r="M49" t="str">
        <f t="shared" si="17"/>
        <v>administrator@footballoracle.co.uk</v>
      </c>
      <c r="N49" s="2" t="str">
        <f t="shared" ca="1" si="2"/>
        <v>2014-08-22 08:22:04</v>
      </c>
    </row>
    <row r="50" spans="1:14" x14ac:dyDescent="0.25">
      <c r="A50" t="str">
        <f t="shared" si="3"/>
        <v>0CBB9FF4-C21A-4D10-B4F5-63D921893FC7</v>
      </c>
      <c r="B50" t="str">
        <f>Country!A42</f>
        <v>FF6D8361-762D-4DDA-BD94-47758CDE9C2D</v>
      </c>
      <c r="C50" s="5" t="s">
        <v>107</v>
      </c>
      <c r="D50" t="str">
        <f>OrganisationV!B$7</f>
        <v>88BD6E26-1CE8-4B5A-A798-72B2C534757D</v>
      </c>
      <c r="E50" t="s">
        <v>2</v>
      </c>
      <c r="F50" t="s">
        <v>2</v>
      </c>
      <c r="G50" s="3" t="str">
        <f t="shared" si="15"/>
        <v>1850-01-01 00:00:00</v>
      </c>
      <c r="H50" s="3" t="str">
        <f t="shared" si="14"/>
        <v>2999-12-31  23:59:59</v>
      </c>
      <c r="I50" s="5" t="s">
        <v>25</v>
      </c>
      <c r="J50" s="5" t="s">
        <v>26</v>
      </c>
      <c r="K50" t="str">
        <f>Constants!$B$4</f>
        <v>administrator@footballoracle.co.uk</v>
      </c>
      <c r="L50" s="2" t="str">
        <f t="shared" ca="1" si="4"/>
        <v>2014-08-22 08:22:04</v>
      </c>
      <c r="M50" t="str">
        <f t="shared" si="17"/>
        <v>administrator@footballoracle.co.uk</v>
      </c>
      <c r="N50" s="2" t="str">
        <f t="shared" ca="1" si="2"/>
        <v>2014-08-22 08:22:04</v>
      </c>
    </row>
    <row r="51" spans="1:14" x14ac:dyDescent="0.25">
      <c r="A51" t="str">
        <f t="shared" si="3"/>
        <v>A5D644B2-9DF0-4D8D-9E2D-4A6DED91F3AD</v>
      </c>
      <c r="B51" t="str">
        <f>Country!A43</f>
        <v>68C08C77-9C66-4FD8-9ED7-552F02CC61A3</v>
      </c>
      <c r="C51" s="5" t="s">
        <v>108</v>
      </c>
      <c r="D51" t="str">
        <f>OrganisationV!B$7</f>
        <v>88BD6E26-1CE8-4B5A-A798-72B2C534757D</v>
      </c>
      <c r="E51" t="s">
        <v>2</v>
      </c>
      <c r="F51" t="s">
        <v>2</v>
      </c>
      <c r="G51" s="3" t="str">
        <f t="shared" si="15"/>
        <v>1850-01-01 00:00:00</v>
      </c>
      <c r="H51" s="3" t="str">
        <f t="shared" si="14"/>
        <v>2999-12-31  23:59:59</v>
      </c>
      <c r="I51" s="5" t="s">
        <v>25</v>
      </c>
      <c r="J51" s="5" t="s">
        <v>26</v>
      </c>
      <c r="K51" t="str">
        <f>Constants!$B$4</f>
        <v>administrator@footballoracle.co.uk</v>
      </c>
      <c r="L51" s="2" t="str">
        <f t="shared" ca="1" si="4"/>
        <v>2014-08-22 08:22:04</v>
      </c>
      <c r="M51" t="str">
        <f t="shared" si="17"/>
        <v>administrator@footballoracle.co.uk</v>
      </c>
      <c r="N51" s="2" t="str">
        <f t="shared" ca="1" si="2"/>
        <v>2014-08-22 08:22:04</v>
      </c>
    </row>
    <row r="52" spans="1:14" x14ac:dyDescent="0.25">
      <c r="A52" t="str">
        <f t="shared" si="3"/>
        <v>2165A305-11F8-4F73-A904-C8C7EEE760AD</v>
      </c>
      <c r="B52" t="str">
        <f>Country!A44</f>
        <v>92CC9798-2E0B-4685-B6C7-4C10E1D00703</v>
      </c>
      <c r="C52" s="5" t="s">
        <v>109</v>
      </c>
      <c r="D52" t="str">
        <f>OrganisationV!B$7</f>
        <v>88BD6E26-1CE8-4B5A-A798-72B2C534757D</v>
      </c>
      <c r="E52" t="s">
        <v>2</v>
      </c>
      <c r="F52" t="s">
        <v>2</v>
      </c>
      <c r="G52" s="3" t="str">
        <f t="shared" si="15"/>
        <v>1850-01-01 00:00:00</v>
      </c>
      <c r="H52" s="3" t="str">
        <f t="shared" si="14"/>
        <v>2999-12-31  23:59:59</v>
      </c>
      <c r="I52" s="5" t="s">
        <v>25</v>
      </c>
      <c r="J52" s="5" t="s">
        <v>26</v>
      </c>
      <c r="K52" t="str">
        <f>Constants!$B$4</f>
        <v>administrator@footballoracle.co.uk</v>
      </c>
      <c r="L52" s="2" t="str">
        <f t="shared" ca="1" si="4"/>
        <v>2014-08-22 08:22:04</v>
      </c>
      <c r="M52" t="str">
        <f t="shared" si="17"/>
        <v>administrator@footballoracle.co.uk</v>
      </c>
      <c r="N52" s="2" t="str">
        <f t="shared" ca="1" si="2"/>
        <v>2014-08-22 08:22:04</v>
      </c>
    </row>
    <row r="53" spans="1:14" x14ac:dyDescent="0.25">
      <c r="A53" t="str">
        <f t="shared" si="3"/>
        <v>F8A771C9-75B2-49A6-8641-DFA2C0C18B8A</v>
      </c>
      <c r="B53" t="str">
        <f>Country!A45</f>
        <v>DB272C71-128B-41CF-88A9-9475DB2A626E</v>
      </c>
      <c r="C53" s="5" t="s">
        <v>110</v>
      </c>
      <c r="D53" t="str">
        <f>OrganisationV!B$7</f>
        <v>88BD6E26-1CE8-4B5A-A798-72B2C534757D</v>
      </c>
      <c r="E53" t="s">
        <v>2</v>
      </c>
      <c r="F53" t="s">
        <v>2</v>
      </c>
      <c r="G53" s="3" t="str">
        <f t="shared" si="15"/>
        <v>1850-01-01 00:00:00</v>
      </c>
      <c r="H53" s="3" t="str">
        <f t="shared" si="14"/>
        <v>2999-12-31  23:59:59</v>
      </c>
      <c r="I53" s="5" t="s">
        <v>25</v>
      </c>
      <c r="J53" s="5" t="s">
        <v>26</v>
      </c>
      <c r="K53" t="str">
        <f>Constants!$B$4</f>
        <v>administrator@footballoracle.co.uk</v>
      </c>
      <c r="L53" s="2" t="str">
        <f t="shared" ca="1" si="4"/>
        <v>2014-08-22 08:22:04</v>
      </c>
      <c r="M53" t="str">
        <f t="shared" si="17"/>
        <v>administrator@footballoracle.co.uk</v>
      </c>
      <c r="N53" s="2" t="str">
        <f t="shared" ca="1" si="2"/>
        <v>2014-08-22 08:22:04</v>
      </c>
    </row>
    <row r="54" spans="1:14" x14ac:dyDescent="0.25">
      <c r="A54" t="str">
        <f t="shared" si="3"/>
        <v>44E0C236-08D6-434D-9E51-41E86E3E07FD</v>
      </c>
      <c r="B54" t="str">
        <f>Country!A46</f>
        <v>34C82029-EF6B-477C-894A-5543B6C48685</v>
      </c>
      <c r="C54" s="5" t="s">
        <v>111</v>
      </c>
      <c r="D54" t="str">
        <f>OrganisationV!B$7</f>
        <v>88BD6E26-1CE8-4B5A-A798-72B2C534757D</v>
      </c>
      <c r="E54" t="s">
        <v>2</v>
      </c>
      <c r="F54" t="s">
        <v>2</v>
      </c>
      <c r="G54" s="3" t="str">
        <f t="shared" si="15"/>
        <v>1850-01-01 00:00:00</v>
      </c>
      <c r="H54" s="3" t="str">
        <f t="shared" si="14"/>
        <v>2999-12-31  23:59:59</v>
      </c>
      <c r="I54" s="5" t="s">
        <v>25</v>
      </c>
      <c r="J54" s="5" t="s">
        <v>26</v>
      </c>
      <c r="K54" t="str">
        <f>Constants!$B$4</f>
        <v>administrator@footballoracle.co.uk</v>
      </c>
      <c r="L54" s="2" t="str">
        <f t="shared" ca="1" si="4"/>
        <v>2014-08-22 08:22:04</v>
      </c>
      <c r="M54" t="str">
        <f t="shared" si="17"/>
        <v>administrator@footballoracle.co.uk</v>
      </c>
      <c r="N54" s="2" t="str">
        <f t="shared" ca="1" si="2"/>
        <v>2014-08-22 08:22:04</v>
      </c>
    </row>
    <row r="55" spans="1:14" x14ac:dyDescent="0.25">
      <c r="A55" t="str">
        <f t="shared" si="3"/>
        <v>8323E100-51D7-4E1E-9ED8-A93A7D3B3F32</v>
      </c>
      <c r="B55" t="str">
        <f>Country!A47</f>
        <v>BB85731E-AA74-408A-82D3-03223270D6B1</v>
      </c>
      <c r="C55" s="5" t="s">
        <v>112</v>
      </c>
      <c r="D55" t="str">
        <f>OrganisationV!B$7</f>
        <v>88BD6E26-1CE8-4B5A-A798-72B2C534757D</v>
      </c>
      <c r="E55" t="s">
        <v>2</v>
      </c>
      <c r="F55" t="s">
        <v>2</v>
      </c>
      <c r="G55" s="3" t="str">
        <f t="shared" si="15"/>
        <v>1850-01-01 00:00:00</v>
      </c>
      <c r="H55" s="3" t="str">
        <f t="shared" si="14"/>
        <v>2999-12-31  23:59:59</v>
      </c>
      <c r="I55" s="5" t="s">
        <v>25</v>
      </c>
      <c r="J55" s="5" t="s">
        <v>26</v>
      </c>
      <c r="K55" t="str">
        <f>Constants!$B$4</f>
        <v>administrator@footballoracle.co.uk</v>
      </c>
      <c r="L55" s="2" t="str">
        <f t="shared" ca="1" si="4"/>
        <v>2014-08-22 08:22:04</v>
      </c>
      <c r="M55" t="str">
        <f t="shared" si="17"/>
        <v>administrator@footballoracle.co.uk</v>
      </c>
      <c r="N55" s="2" t="str">
        <f t="shared" ca="1" si="2"/>
        <v>2014-08-22 08:22:04</v>
      </c>
    </row>
    <row r="56" spans="1:14" x14ac:dyDescent="0.25">
      <c r="A56" t="str">
        <f t="shared" si="3"/>
        <v>B7607DD3-830E-45A6-AB4D-CAACD1AD7C71</v>
      </c>
      <c r="B56" t="str">
        <f>Country!A48</f>
        <v>41531A85-22C4-43C6-939F-DE219B587D00</v>
      </c>
      <c r="C56" s="5" t="s">
        <v>113</v>
      </c>
      <c r="D56" t="str">
        <f>OrganisationV!B$7</f>
        <v>88BD6E26-1CE8-4B5A-A798-72B2C534757D</v>
      </c>
      <c r="E56" t="s">
        <v>2</v>
      </c>
      <c r="F56" t="s">
        <v>2</v>
      </c>
      <c r="G56" s="3" t="str">
        <f t="shared" si="15"/>
        <v>1850-01-01 00:00:00</v>
      </c>
      <c r="H56" s="3" t="str">
        <f t="shared" si="14"/>
        <v>2999-12-31  23:59:59</v>
      </c>
      <c r="I56" s="5" t="s">
        <v>25</v>
      </c>
      <c r="J56" s="5" t="s">
        <v>26</v>
      </c>
      <c r="K56" t="str">
        <f>Constants!$B$4</f>
        <v>administrator@footballoracle.co.uk</v>
      </c>
      <c r="L56" s="2" t="str">
        <f t="shared" ca="1" si="4"/>
        <v>2014-08-22 08:22:04</v>
      </c>
      <c r="M56" t="str">
        <f t="shared" si="17"/>
        <v>administrator@footballoracle.co.uk</v>
      </c>
      <c r="N56" s="2" t="str">
        <f t="shared" ca="1" si="2"/>
        <v>2014-08-22 08:22:04</v>
      </c>
    </row>
    <row r="57" spans="1:14" x14ac:dyDescent="0.25">
      <c r="A57" t="str">
        <f t="shared" si="3"/>
        <v>FCE98872-FBC8-494E-8C18-07738B0C9470</v>
      </c>
      <c r="B57" t="str">
        <f>Country!A49</f>
        <v>59183B3A-6C75-453B-AE71-D35628ACD020</v>
      </c>
      <c r="C57" s="5" t="s">
        <v>114</v>
      </c>
      <c r="D57" t="str">
        <f>OrganisationV!B$7</f>
        <v>88BD6E26-1CE8-4B5A-A798-72B2C534757D</v>
      </c>
      <c r="E57" t="s">
        <v>2</v>
      </c>
      <c r="F57" t="s">
        <v>2</v>
      </c>
      <c r="G57" s="3" t="str">
        <f t="shared" si="15"/>
        <v>1850-01-01 00:00:00</v>
      </c>
      <c r="H57" s="3" t="str">
        <f t="shared" si="14"/>
        <v>2999-12-31  23:59:59</v>
      </c>
      <c r="I57" s="5" t="s">
        <v>25</v>
      </c>
      <c r="J57" s="5" t="s">
        <v>26</v>
      </c>
      <c r="K57" t="str">
        <f>Constants!$B$4</f>
        <v>administrator@footballoracle.co.uk</v>
      </c>
      <c r="L57" s="2" t="str">
        <f t="shared" ca="1" si="4"/>
        <v>2014-08-22 08:22:04</v>
      </c>
      <c r="M57" t="str">
        <f t="shared" si="17"/>
        <v>administrator@footballoracle.co.uk</v>
      </c>
      <c r="N57" s="2" t="str">
        <f t="shared" ca="1" si="2"/>
        <v>2014-08-22 08:22:04</v>
      </c>
    </row>
    <row r="58" spans="1:14" x14ac:dyDescent="0.25">
      <c r="A58" t="str">
        <f t="shared" si="3"/>
        <v>E9E11081-B0D9-49E8-BFA2-F03DABC41670</v>
      </c>
      <c r="B58" t="str">
        <f>Country!A50</f>
        <v>147C1DCB-E872-477F-BEBA-70A774F1FD7A</v>
      </c>
      <c r="C58" s="5" t="s">
        <v>115</v>
      </c>
      <c r="D58" t="str">
        <f>OrganisationV!B$7</f>
        <v>88BD6E26-1CE8-4B5A-A798-72B2C534757D</v>
      </c>
      <c r="E58" t="s">
        <v>2</v>
      </c>
      <c r="F58" t="s">
        <v>2</v>
      </c>
      <c r="G58" s="3" t="str">
        <f t="shared" si="15"/>
        <v>1850-01-01 00:00:00</v>
      </c>
      <c r="H58" s="3" t="str">
        <f t="shared" si="14"/>
        <v>2999-12-31  23:59:59</v>
      </c>
      <c r="I58" s="5" t="s">
        <v>25</v>
      </c>
      <c r="J58" s="5" t="s">
        <v>26</v>
      </c>
      <c r="K58" t="str">
        <f>Constants!$B$4</f>
        <v>administrator@footballoracle.co.uk</v>
      </c>
      <c r="L58" s="2" t="str">
        <f t="shared" ca="1" si="4"/>
        <v>2014-08-22 08:22:04</v>
      </c>
      <c r="M58" t="str">
        <f t="shared" si="17"/>
        <v>administrator@footballoracle.co.uk</v>
      </c>
      <c r="N58" s="2" t="str">
        <f t="shared" ca="1" si="2"/>
        <v>2014-08-22 08:22:04</v>
      </c>
    </row>
    <row r="59" spans="1:14" x14ac:dyDescent="0.25">
      <c r="A59" t="str">
        <f t="shared" si="3"/>
        <v>95D49926-F9CB-4B91-845A-2B91CF1BB3BE</v>
      </c>
      <c r="B59" t="str">
        <f>B58</f>
        <v>147C1DCB-E872-477F-BEBA-70A774F1FD7A</v>
      </c>
      <c r="C59" s="5" t="s">
        <v>116</v>
      </c>
      <c r="D59" t="str">
        <f>OrganisationV!B$7</f>
        <v>88BD6E26-1CE8-4B5A-A798-72B2C534757D</v>
      </c>
      <c r="E59" t="s">
        <v>2</v>
      </c>
      <c r="F59" t="s">
        <v>2</v>
      </c>
      <c r="G59" s="3" t="str">
        <f t="shared" si="15"/>
        <v>1850-01-01 00:00:00</v>
      </c>
      <c r="H59" s="3" t="str">
        <f t="shared" si="14"/>
        <v>2999-12-31  23:59:59</v>
      </c>
      <c r="I59" s="5" t="s">
        <v>25</v>
      </c>
      <c r="J59" s="5" t="s">
        <v>26</v>
      </c>
      <c r="K59" t="str">
        <f>Constants!$B$4</f>
        <v>administrator@footballoracle.co.uk</v>
      </c>
      <c r="L59" s="2" t="str">
        <f t="shared" ca="1" si="4"/>
        <v>2014-08-22 08:22:04</v>
      </c>
      <c r="M59" t="str">
        <f t="shared" si="17"/>
        <v>administrator@footballoracle.co.uk</v>
      </c>
      <c r="N59" s="2" t="str">
        <f t="shared" ca="1" si="2"/>
        <v>2014-08-22 08:22:04</v>
      </c>
    </row>
    <row r="60" spans="1:14" x14ac:dyDescent="0.25">
      <c r="A60" t="str">
        <f t="shared" si="3"/>
        <v>9462AEBB-7FBD-408C-82A3-B963DA1FC7F6</v>
      </c>
      <c r="B60" t="str">
        <f>Country!A51</f>
        <v>E30E8C36-215E-4874-ADE8-28C778962FAF</v>
      </c>
      <c r="C60" s="5" t="s">
        <v>117</v>
      </c>
      <c r="D60" t="str">
        <f>OrganisationV!B$9</f>
        <v>9C1C564E-DFEA-4335-8AA0-D69CEDBE5677</v>
      </c>
      <c r="E60" t="s">
        <v>2</v>
      </c>
      <c r="F60" t="s">
        <v>2</v>
      </c>
      <c r="G60" s="3" t="str">
        <f t="shared" si="15"/>
        <v>1850-01-01 00:00:00</v>
      </c>
      <c r="H60" s="3" t="str">
        <f t="shared" si="14"/>
        <v>2999-12-31  23:59:59</v>
      </c>
      <c r="I60" s="5" t="s">
        <v>25</v>
      </c>
      <c r="J60" s="5" t="s">
        <v>26</v>
      </c>
      <c r="K60" t="str">
        <f>Constants!$B$4</f>
        <v>administrator@footballoracle.co.uk</v>
      </c>
      <c r="L60" s="2" t="str">
        <f t="shared" ca="1" si="4"/>
        <v>2014-08-22 08:22:04</v>
      </c>
      <c r="M60" t="str">
        <f t="shared" ref="M60" si="18">K60</f>
        <v>administrator@footballoracle.co.uk</v>
      </c>
      <c r="N60" s="2" t="str">
        <f t="shared" ca="1" si="2"/>
        <v>2014-08-22 08:22:04</v>
      </c>
    </row>
    <row r="61" spans="1:14" x14ac:dyDescent="0.25">
      <c r="A61" t="str">
        <f t="shared" si="3"/>
        <v>2D47D332-DA29-4949-A3E2-46CBD5F4C49B</v>
      </c>
      <c r="B61" t="str">
        <f>B60</f>
        <v>E30E8C36-215E-4874-ADE8-28C778962FAF</v>
      </c>
      <c r="C61" s="5" t="s">
        <v>118</v>
      </c>
      <c r="D61" t="str">
        <f>OrganisationV!B$9</f>
        <v>9C1C564E-DFEA-4335-8AA0-D69CEDBE5677</v>
      </c>
      <c r="E61" t="s">
        <v>2</v>
      </c>
      <c r="F61" t="s">
        <v>2</v>
      </c>
      <c r="G61" s="3" t="str">
        <f t="shared" si="15"/>
        <v>1850-01-01 00:00:00</v>
      </c>
      <c r="H61" s="3" t="str">
        <f t="shared" si="14"/>
        <v>2999-12-31  23:59:59</v>
      </c>
      <c r="I61" s="5" t="s">
        <v>25</v>
      </c>
      <c r="J61" s="5" t="s">
        <v>26</v>
      </c>
      <c r="K61" t="str">
        <f>Constants!$B$4</f>
        <v>administrator@footballoracle.co.uk</v>
      </c>
      <c r="L61" s="2" t="str">
        <f t="shared" ca="1" si="4"/>
        <v>2014-08-22 08:22:04</v>
      </c>
      <c r="M61" t="str">
        <f t="shared" ref="M61:M66" si="19">K61</f>
        <v>administrator@footballoracle.co.uk</v>
      </c>
      <c r="N61" s="2" t="str">
        <f t="shared" ca="1" si="2"/>
        <v>2014-08-22 08:22:04</v>
      </c>
    </row>
    <row r="62" spans="1:14" x14ac:dyDescent="0.25">
      <c r="A62" t="str">
        <f t="shared" si="3"/>
        <v>A4999402-C015-4ADC-A392-B3FFBE915A61</v>
      </c>
      <c r="B62" t="str">
        <f>Country!A52</f>
        <v>2FDB87E7-429F-4889-8170-ED6A13079DFF</v>
      </c>
      <c r="C62" s="5" t="s">
        <v>119</v>
      </c>
      <c r="D62" t="str">
        <f>OrganisationV!B$9</f>
        <v>9C1C564E-DFEA-4335-8AA0-D69CEDBE5677</v>
      </c>
      <c r="E62" t="s">
        <v>2</v>
      </c>
      <c r="F62" t="s">
        <v>2</v>
      </c>
      <c r="G62" s="3" t="str">
        <f t="shared" si="15"/>
        <v>1850-01-01 00:00:00</v>
      </c>
      <c r="H62" s="3" t="str">
        <f t="shared" si="14"/>
        <v>2999-12-31  23:59:59</v>
      </c>
      <c r="I62" s="5" t="s">
        <v>25</v>
      </c>
      <c r="J62" s="5" t="s">
        <v>26</v>
      </c>
      <c r="K62" t="str">
        <f>Constants!$B$4</f>
        <v>administrator@footballoracle.co.uk</v>
      </c>
      <c r="L62" s="2" t="str">
        <f t="shared" ca="1" si="4"/>
        <v>2014-08-22 08:22:04</v>
      </c>
      <c r="M62" t="str">
        <f t="shared" si="19"/>
        <v>administrator@footballoracle.co.uk</v>
      </c>
      <c r="N62" s="2" t="str">
        <f t="shared" ca="1" si="2"/>
        <v>2014-08-22 08:22:04</v>
      </c>
    </row>
    <row r="63" spans="1:14" x14ac:dyDescent="0.25">
      <c r="A63" t="str">
        <f t="shared" si="3"/>
        <v>BD64DDCC-CB7F-4DBB-A078-30118CC585DC</v>
      </c>
      <c r="B63" t="str">
        <f>B62</f>
        <v>2FDB87E7-429F-4889-8170-ED6A13079DFF</v>
      </c>
      <c r="C63" s="5" t="s">
        <v>120</v>
      </c>
      <c r="D63" t="str">
        <f>OrganisationV!B$9</f>
        <v>9C1C564E-DFEA-4335-8AA0-D69CEDBE5677</v>
      </c>
      <c r="E63" t="s">
        <v>2</v>
      </c>
      <c r="F63" t="s">
        <v>2</v>
      </c>
      <c r="G63" s="3" t="str">
        <f t="shared" si="15"/>
        <v>1850-01-01 00:00:00</v>
      </c>
      <c r="H63" s="3" t="str">
        <f t="shared" si="14"/>
        <v>2999-12-31  23:59:59</v>
      </c>
      <c r="I63" s="5" t="s">
        <v>25</v>
      </c>
      <c r="J63" s="5" t="s">
        <v>26</v>
      </c>
      <c r="K63" t="str">
        <f>Constants!$B$4</f>
        <v>administrator@footballoracle.co.uk</v>
      </c>
      <c r="L63" s="2" t="str">
        <f t="shared" ca="1" si="4"/>
        <v>2014-08-22 08:22:04</v>
      </c>
      <c r="M63" t="str">
        <f t="shared" si="19"/>
        <v>administrator@footballoracle.co.uk</v>
      </c>
      <c r="N63" s="2" t="str">
        <f t="shared" ca="1" si="2"/>
        <v>2014-08-22 08:22:04</v>
      </c>
    </row>
    <row r="64" spans="1:14" x14ac:dyDescent="0.25">
      <c r="A64" t="str">
        <f t="shared" si="3"/>
        <v>5D99A899-4706-4C5E-875A-1AF254EFC7C2</v>
      </c>
      <c r="B64" t="str">
        <f>Country!A53</f>
        <v>99B18B4D-DC36-49ED-BD38-C11F2DA5E49C</v>
      </c>
      <c r="C64" s="5" t="s">
        <v>121</v>
      </c>
      <c r="D64" t="str">
        <f>OrganisationV!B$9</f>
        <v>9C1C564E-DFEA-4335-8AA0-D69CEDBE5677</v>
      </c>
      <c r="E64" t="s">
        <v>2</v>
      </c>
      <c r="F64" t="s">
        <v>2</v>
      </c>
      <c r="G64" s="3" t="str">
        <f t="shared" si="15"/>
        <v>1850-01-01 00:00:00</v>
      </c>
      <c r="H64" s="3" t="str">
        <f t="shared" si="14"/>
        <v>2999-12-31  23:59:59</v>
      </c>
      <c r="I64" s="5" t="s">
        <v>25</v>
      </c>
      <c r="J64" s="5" t="s">
        <v>26</v>
      </c>
      <c r="K64" t="str">
        <f>Constants!$B$4</f>
        <v>administrator@footballoracle.co.uk</v>
      </c>
      <c r="L64" s="2" t="str">
        <f t="shared" ca="1" si="4"/>
        <v>2014-08-22 08:22:04</v>
      </c>
      <c r="M64" t="str">
        <f t="shared" si="19"/>
        <v>administrator@footballoracle.co.uk</v>
      </c>
      <c r="N64" s="2" t="str">
        <f t="shared" ca="1" si="2"/>
        <v>2014-08-22 08:22:04</v>
      </c>
    </row>
    <row r="65" spans="1:14" x14ac:dyDescent="0.25">
      <c r="A65" t="str">
        <f t="shared" si="3"/>
        <v>0EC8C356-64F3-4704-B698-07F225FF22ED</v>
      </c>
      <c r="B65" t="str">
        <f>Country!A54</f>
        <v>04016587-9489-4FAE-B42D-824211C69131</v>
      </c>
      <c r="C65" s="5" t="s">
        <v>122</v>
      </c>
      <c r="D65" t="str">
        <f>OrganisationV!B$9</f>
        <v>9C1C564E-DFEA-4335-8AA0-D69CEDBE5677</v>
      </c>
      <c r="E65" t="s">
        <v>2</v>
      </c>
      <c r="F65" t="s">
        <v>2</v>
      </c>
      <c r="G65" s="3" t="str">
        <f t="shared" si="15"/>
        <v>1850-01-01 00:00:00</v>
      </c>
      <c r="H65" s="3" t="str">
        <f t="shared" si="14"/>
        <v>2999-12-31  23:59:59</v>
      </c>
      <c r="I65" s="5" t="s">
        <v>25</v>
      </c>
      <c r="J65" s="5" t="s">
        <v>26</v>
      </c>
      <c r="K65" t="str">
        <f>Constants!$B$4</f>
        <v>administrator@footballoracle.co.uk</v>
      </c>
      <c r="L65" s="2" t="str">
        <f t="shared" ca="1" si="4"/>
        <v>2014-08-22 08:22:04</v>
      </c>
      <c r="M65" t="str">
        <f t="shared" si="19"/>
        <v>administrator@footballoracle.co.uk</v>
      </c>
      <c r="N65" s="2" t="str">
        <f t="shared" ca="1" si="2"/>
        <v>2014-08-22 08:22:04</v>
      </c>
    </row>
    <row r="66" spans="1:14" x14ac:dyDescent="0.25">
      <c r="A66" t="str">
        <f t="shared" si="3"/>
        <v>4EF4D9C6-06D8-44FE-B458-0F22B6EF076F</v>
      </c>
      <c r="B66" t="str">
        <f>Country!A55</f>
        <v>DFDB6ABA-B0E6-4058-A730-61FD4AAAC063</v>
      </c>
      <c r="C66" s="5" t="s">
        <v>123</v>
      </c>
      <c r="D66" t="str">
        <f>OrganisationV!B$9</f>
        <v>9C1C564E-DFEA-4335-8AA0-D69CEDBE5677</v>
      </c>
      <c r="E66" t="s">
        <v>2</v>
      </c>
      <c r="F66" t="s">
        <v>2</v>
      </c>
      <c r="G66" s="3" t="str">
        <f t="shared" si="15"/>
        <v>1850-01-01 00:00:00</v>
      </c>
      <c r="H66" s="3" t="str">
        <f t="shared" si="14"/>
        <v>2999-12-31  23:59:59</v>
      </c>
      <c r="I66" s="5" t="s">
        <v>25</v>
      </c>
      <c r="J66" s="5" t="s">
        <v>26</v>
      </c>
      <c r="K66" t="str">
        <f>Constants!$B$4</f>
        <v>administrator@footballoracle.co.uk</v>
      </c>
      <c r="L66" s="2" t="str">
        <f t="shared" ca="1" si="4"/>
        <v>2014-08-22 08:22:04</v>
      </c>
      <c r="M66" t="str">
        <f t="shared" si="19"/>
        <v>administrator@footballoracle.co.uk</v>
      </c>
      <c r="N66" s="2" t="str">
        <f t="shared" ref="N66:N129" ca="1" si="20">TEXT(NOW(), "yyyy-MM-dd hh:mm:ss")</f>
        <v>2014-08-22 08:22:04</v>
      </c>
    </row>
    <row r="67" spans="1:14" x14ac:dyDescent="0.25">
      <c r="A67" t="str">
        <f t="shared" si="3"/>
        <v>21B09742-5684-4D2B-A57E-0C387F6D0A35</v>
      </c>
      <c r="B67" t="str">
        <f>Country!A56</f>
        <v>2F2DB113-05DF-493F-A5F6-0C4C1C809D01</v>
      </c>
      <c r="C67" s="5" t="s">
        <v>124</v>
      </c>
      <c r="D67" t="str">
        <f>OrganisationV!B$10</f>
        <v>85C84793-E5EB-4A5F-92DF-B2C3846641CD</v>
      </c>
      <c r="E67" t="s">
        <v>2</v>
      </c>
      <c r="F67" t="s">
        <v>2</v>
      </c>
      <c r="G67" s="3" t="str">
        <f t="shared" si="15"/>
        <v>1850-01-01 00:00:00</v>
      </c>
      <c r="H67" s="3">
        <v>27553.999988425927</v>
      </c>
      <c r="I67" s="5" t="s">
        <v>25</v>
      </c>
      <c r="J67" s="5" t="s">
        <v>26</v>
      </c>
      <c r="K67" t="str">
        <f>Constants!$B$4</f>
        <v>administrator@footballoracle.co.uk</v>
      </c>
      <c r="L67" s="2" t="str">
        <f t="shared" ca="1" si="4"/>
        <v>2014-08-22 08:22:04</v>
      </c>
      <c r="M67" t="str">
        <f t="shared" ref="M67" si="21">K67</f>
        <v>administrator@footballoracle.co.uk</v>
      </c>
      <c r="N67" s="2" t="str">
        <f t="shared" ca="1" si="20"/>
        <v>2014-08-22 08:22:04</v>
      </c>
    </row>
    <row r="68" spans="1:14" x14ac:dyDescent="0.25">
      <c r="A68" t="str">
        <f t="shared" si="3"/>
        <v>57512D7A-07E3-4520-960C-5787B4FCA732</v>
      </c>
      <c r="B68" t="str">
        <f>B67</f>
        <v>2F2DB113-05DF-493F-A5F6-0C4C1C809D01</v>
      </c>
      <c r="C68" s="5" t="s">
        <v>125</v>
      </c>
      <c r="D68" t="str">
        <f>OrganisationV!B$10</f>
        <v>85C84793-E5EB-4A5F-92DF-B2C3846641CD</v>
      </c>
      <c r="E68" t="s">
        <v>2</v>
      </c>
      <c r="F68" t="s">
        <v>2</v>
      </c>
      <c r="G68" s="3">
        <v>27554</v>
      </c>
      <c r="H68" s="3" t="str">
        <f>VLOOKUP("highdate",DateConstants,2)</f>
        <v>2999-12-31  23:59:59</v>
      </c>
      <c r="I68" s="5" t="s">
        <v>25</v>
      </c>
      <c r="J68" s="5" t="s">
        <v>26</v>
      </c>
      <c r="K68" t="str">
        <f>Constants!$B$4</f>
        <v>administrator@footballoracle.co.uk</v>
      </c>
      <c r="L68" s="2" t="str">
        <f t="shared" ca="1" si="4"/>
        <v>2014-08-22 08:22:04</v>
      </c>
      <c r="M68" t="str">
        <f t="shared" ref="M68:M69" si="22">K68</f>
        <v>administrator@footballoracle.co.uk</v>
      </c>
      <c r="N68" s="2" t="str">
        <f t="shared" ca="1" si="20"/>
        <v>2014-08-22 08:22:04</v>
      </c>
    </row>
    <row r="69" spans="1:14" x14ac:dyDescent="0.25">
      <c r="A69" t="str">
        <f t="shared" si="3"/>
        <v>9632B6DE-F4DF-4778-A683-9B987766E43F</v>
      </c>
      <c r="B69" t="str">
        <f>Country!A57</f>
        <v>CBBA8635-2848-4FD0-9353-3D0F555FBB21</v>
      </c>
      <c r="C69" s="5" t="s">
        <v>126</v>
      </c>
      <c r="D69" t="str">
        <f>OrganisationV!B$10</f>
        <v>85C84793-E5EB-4A5F-92DF-B2C3846641CD</v>
      </c>
      <c r="E69" t="s">
        <v>2</v>
      </c>
      <c r="F69" t="s">
        <v>2</v>
      </c>
      <c r="G69" s="3" t="str">
        <f>VLOOKUP("lowdate",DateConstants,2)</f>
        <v>1850-01-01 00:00:00</v>
      </c>
      <c r="H69" s="3">
        <v>30841.999988425927</v>
      </c>
      <c r="I69" s="5" t="s">
        <v>25</v>
      </c>
      <c r="J69" s="5" t="s">
        <v>26</v>
      </c>
      <c r="K69" t="str">
        <f>Constants!$B$4</f>
        <v>administrator@footballoracle.co.uk</v>
      </c>
      <c r="L69" s="2" t="str">
        <f t="shared" ca="1" si="4"/>
        <v>2014-08-22 08:22:04</v>
      </c>
      <c r="M69" t="str">
        <f t="shared" si="22"/>
        <v>administrator@footballoracle.co.uk</v>
      </c>
      <c r="N69" s="2" t="str">
        <f t="shared" ca="1" si="20"/>
        <v>2014-08-22 08:22:04</v>
      </c>
    </row>
    <row r="70" spans="1:14" x14ac:dyDescent="0.25">
      <c r="A70" t="str">
        <f t="shared" ref="A70" si="23">GetGuid()</f>
        <v>85BD8D6C-0E7A-41F1-9106-8BFBFF6974E4</v>
      </c>
      <c r="B70" t="str">
        <f>B69</f>
        <v>CBBA8635-2848-4FD0-9353-3D0F555FBB21</v>
      </c>
      <c r="C70" s="5" t="s">
        <v>127</v>
      </c>
      <c r="D70" t="str">
        <f>OrganisationV!B$10</f>
        <v>85C84793-E5EB-4A5F-92DF-B2C3846641CD</v>
      </c>
      <c r="E70" t="s">
        <v>2</v>
      </c>
      <c r="F70" t="s">
        <v>2</v>
      </c>
      <c r="G70" s="3">
        <v>30842</v>
      </c>
      <c r="H70" s="3" t="str">
        <f>VLOOKUP("highdate",DateConstants,2)</f>
        <v>2999-12-31  23:59:59</v>
      </c>
      <c r="I70" s="5" t="s">
        <v>25</v>
      </c>
      <c r="J70" s="5" t="s">
        <v>26</v>
      </c>
      <c r="K70" t="str">
        <f>Constants!$B$4</f>
        <v>administrator@footballoracle.co.uk</v>
      </c>
      <c r="L70" s="2" t="str">
        <f t="shared" ref="L70" ca="1" si="24">TEXT(NOW(), "yyyy-MM-dd hh:mm:ss")</f>
        <v>2014-08-22 08:22:04</v>
      </c>
      <c r="M70" t="str">
        <f t="shared" ref="M70:M74" si="25">K70</f>
        <v>administrator@footballoracle.co.uk</v>
      </c>
      <c r="N70" s="2" t="str">
        <f t="shared" ca="1" si="20"/>
        <v>2014-08-22 08:22:04</v>
      </c>
    </row>
    <row r="71" spans="1:14" x14ac:dyDescent="0.25">
      <c r="A71" t="str">
        <f t="shared" si="3"/>
        <v>177DBB47-E809-4324-BD20-060C12D83B78</v>
      </c>
      <c r="B71" t="str">
        <f>Country!A58</f>
        <v>57F31CAE-364D-4012-BA97-4C56141701E9</v>
      </c>
      <c r="C71" s="5" t="s">
        <v>128</v>
      </c>
      <c r="D71" t="str">
        <f>OrganisationV!B$10</f>
        <v>85C84793-E5EB-4A5F-92DF-B2C3846641CD</v>
      </c>
      <c r="E71" t="s">
        <v>2</v>
      </c>
      <c r="F71" t="s">
        <v>2</v>
      </c>
      <c r="G71" s="3" t="str">
        <f>VLOOKUP("lowdate",DateConstants,2)</f>
        <v>1850-01-01 00:00:00</v>
      </c>
      <c r="H71" s="3" t="str">
        <f>VLOOKUP("highdate",DateConstants,2)</f>
        <v>2999-12-31  23:59:59</v>
      </c>
      <c r="I71" s="5" t="s">
        <v>25</v>
      </c>
      <c r="J71" s="5" t="s">
        <v>26</v>
      </c>
      <c r="K71" t="str">
        <f>Constants!$B$4</f>
        <v>administrator@footballoracle.co.uk</v>
      </c>
      <c r="L71" s="2" t="str">
        <f t="shared" ca="1" si="4"/>
        <v>2014-08-22 08:22:04</v>
      </c>
      <c r="M71" t="str">
        <f t="shared" si="25"/>
        <v>administrator@footballoracle.co.uk</v>
      </c>
      <c r="N71" s="2" t="str">
        <f t="shared" ca="1" si="20"/>
        <v>2014-08-22 08:22:04</v>
      </c>
    </row>
    <row r="72" spans="1:14" x14ac:dyDescent="0.25">
      <c r="A72" t="str">
        <f t="shared" si="3"/>
        <v>99F76376-8354-43FA-9F36-1B0753A700A8</v>
      </c>
      <c r="B72" t="str">
        <f>Country!A59</f>
        <v>D9925C72-05EA-4D6F-8BC1-F29A3F1802BD</v>
      </c>
      <c r="C72" s="5" t="s">
        <v>129</v>
      </c>
      <c r="D72" t="str">
        <f>OrganisationV!B$10</f>
        <v>85C84793-E5EB-4A5F-92DF-B2C3846641CD</v>
      </c>
      <c r="E72" t="s">
        <v>2</v>
      </c>
      <c r="F72" t="s">
        <v>2</v>
      </c>
      <c r="G72" s="3" t="str">
        <f>VLOOKUP("lowdate",DateConstants,2)</f>
        <v>1850-01-01 00:00:00</v>
      </c>
      <c r="H72" s="3">
        <v>23901.999988425927</v>
      </c>
      <c r="I72" s="5" t="s">
        <v>25</v>
      </c>
      <c r="J72" s="5" t="s">
        <v>26</v>
      </c>
      <c r="K72" t="str">
        <f>Constants!$B$4</f>
        <v>administrator@footballoracle.co.uk</v>
      </c>
      <c r="L72" s="2" t="str">
        <f t="shared" ca="1" si="4"/>
        <v>2014-08-22 08:22:04</v>
      </c>
      <c r="M72" t="str">
        <f t="shared" si="25"/>
        <v>administrator@footballoracle.co.uk</v>
      </c>
      <c r="N72" s="2" t="str">
        <f t="shared" ca="1" si="20"/>
        <v>2014-08-22 08:22:04</v>
      </c>
    </row>
    <row r="73" spans="1:14" x14ac:dyDescent="0.25">
      <c r="A73" t="str">
        <f t="shared" ref="A73:A91" si="26">GetGuid()</f>
        <v>28815E27-9E06-4C0C-BF1A-956B526F0B9B</v>
      </c>
      <c r="B73" t="str">
        <f>B72</f>
        <v>D9925C72-05EA-4D6F-8BC1-F29A3F1802BD</v>
      </c>
      <c r="C73" s="5" t="s">
        <v>130</v>
      </c>
      <c r="D73" t="str">
        <f>OrganisationV!B$10</f>
        <v>85C84793-E5EB-4A5F-92DF-B2C3846641CD</v>
      </c>
      <c r="E73" t="s">
        <v>2</v>
      </c>
      <c r="F73" t="s">
        <v>2</v>
      </c>
      <c r="G73" s="3">
        <v>23902</v>
      </c>
      <c r="H73" s="3" t="str">
        <f>VLOOKUP("highdate",DateConstants,2)</f>
        <v>2999-12-31  23:59:59</v>
      </c>
      <c r="I73" s="5" t="s">
        <v>25</v>
      </c>
      <c r="J73" s="5" t="s">
        <v>26</v>
      </c>
      <c r="K73" t="str">
        <f>Constants!$B$4</f>
        <v>administrator@footballoracle.co.uk</v>
      </c>
      <c r="L73" s="2" t="str">
        <f t="shared" ref="L73:L139" ca="1" si="27">TEXT(NOW(), "yyyy-MM-dd hh:mm:ss")</f>
        <v>2014-08-22 08:22:04</v>
      </c>
      <c r="M73" t="str">
        <f t="shared" si="25"/>
        <v>administrator@footballoracle.co.uk</v>
      </c>
      <c r="N73" s="2" t="str">
        <f t="shared" ca="1" si="20"/>
        <v>2014-08-22 08:22:04</v>
      </c>
    </row>
    <row r="74" spans="1:14" x14ac:dyDescent="0.25">
      <c r="A74" t="str">
        <f t="shared" si="26"/>
        <v>2DF1704F-AB63-443D-91CC-5535E71E7455</v>
      </c>
      <c r="B74" t="str">
        <f>Country!A60</f>
        <v>36E0F781-A5F8-4439-933A-DCE02CE7E3F8</v>
      </c>
      <c r="C74" s="5" t="s">
        <v>131</v>
      </c>
      <c r="D74" t="str">
        <f>OrganisationV!B$10</f>
        <v>85C84793-E5EB-4A5F-92DF-B2C3846641CD</v>
      </c>
      <c r="E74" t="s">
        <v>2</v>
      </c>
      <c r="F74" t="s">
        <v>2</v>
      </c>
      <c r="G74" s="3" t="str">
        <f>VLOOKUP("lowdate",DateConstants,2)</f>
        <v>1850-01-01 00:00:00</v>
      </c>
      <c r="H74" s="3">
        <v>20979.999988425927</v>
      </c>
      <c r="I74" s="5" t="s">
        <v>25</v>
      </c>
      <c r="J74" s="5" t="s">
        <v>26</v>
      </c>
      <c r="K74" t="str">
        <f>Constants!$B$4</f>
        <v>administrator@footballoracle.co.uk</v>
      </c>
      <c r="L74" s="2" t="str">
        <f t="shared" ca="1" si="27"/>
        <v>2014-08-22 08:22:04</v>
      </c>
      <c r="M74" t="str">
        <f t="shared" si="25"/>
        <v>administrator@footballoracle.co.uk</v>
      </c>
      <c r="N74" s="2" t="str">
        <f t="shared" ca="1" si="20"/>
        <v>2014-08-22 08:22:04</v>
      </c>
    </row>
    <row r="75" spans="1:14" x14ac:dyDescent="0.25">
      <c r="A75" t="str">
        <f t="shared" si="26"/>
        <v>3928B7E4-E588-442F-8986-97A08101C2EF</v>
      </c>
      <c r="B75" t="str">
        <f>B74</f>
        <v>36E0F781-A5F8-4439-933A-DCE02CE7E3F8</v>
      </c>
      <c r="C75" s="5" t="s">
        <v>132</v>
      </c>
      <c r="D75" t="str">
        <f>OrganisationV!B$10</f>
        <v>85C84793-E5EB-4A5F-92DF-B2C3846641CD</v>
      </c>
      <c r="E75" t="s">
        <v>2</v>
      </c>
      <c r="F75" t="s">
        <v>2</v>
      </c>
      <c r="G75" s="3">
        <v>20980</v>
      </c>
      <c r="H75" s="3" t="str">
        <f>VLOOKUP("highdate",DateConstants,2)</f>
        <v>2999-12-31  23:59:59</v>
      </c>
      <c r="I75" s="5" t="s">
        <v>25</v>
      </c>
      <c r="J75" s="5" t="s">
        <v>26</v>
      </c>
      <c r="K75" t="str">
        <f>Constants!$B$4</f>
        <v>administrator@footballoracle.co.uk</v>
      </c>
      <c r="L75" s="2" t="str">
        <f t="shared" ca="1" si="27"/>
        <v>2014-08-22 08:22:04</v>
      </c>
      <c r="M75" t="str">
        <f t="shared" ref="M75:M82" si="28">K75</f>
        <v>administrator@footballoracle.co.uk</v>
      </c>
      <c r="N75" s="2" t="str">
        <f t="shared" ca="1" si="20"/>
        <v>2014-08-22 08:22:04</v>
      </c>
    </row>
    <row r="76" spans="1:14" x14ac:dyDescent="0.25">
      <c r="A76" t="str">
        <f>GetGuid()</f>
        <v>7E2E305E-97FA-47A5-933A-F41A484F1790</v>
      </c>
      <c r="B76" t="str">
        <f>Country!A61</f>
        <v>DBC854F1-6C41-4363-AA71-2DD1BC083E00</v>
      </c>
      <c r="C76" s="5" t="s">
        <v>133</v>
      </c>
      <c r="D76" t="str">
        <f>OrganisationV!B$10</f>
        <v>85C84793-E5EB-4A5F-92DF-B2C3846641CD</v>
      </c>
      <c r="E76" t="s">
        <v>2</v>
      </c>
      <c r="F76" t="s">
        <v>2</v>
      </c>
      <c r="G76" s="3" t="str">
        <f>VLOOKUP("lowdate",DateConstants,2)</f>
        <v>1850-01-01 00:00:00</v>
      </c>
      <c r="H76" s="3" t="str">
        <f>VLOOKUP("highdate",DateConstants,2)</f>
        <v>2999-12-31  23:59:59</v>
      </c>
      <c r="I76" s="5" t="s">
        <v>25</v>
      </c>
      <c r="J76" s="5" t="s">
        <v>26</v>
      </c>
      <c r="K76" t="str">
        <f>Constants!$B$4</f>
        <v>administrator@footballoracle.co.uk</v>
      </c>
      <c r="L76" s="2" t="str">
        <f t="shared" ca="1" si="27"/>
        <v>2014-08-22 08:22:04</v>
      </c>
      <c r="M76" t="str">
        <f t="shared" si="28"/>
        <v>administrator@footballoracle.co.uk</v>
      </c>
      <c r="N76" s="2" t="str">
        <f t="shared" ca="1" si="20"/>
        <v>2014-08-22 08:22:04</v>
      </c>
    </row>
    <row r="77" spans="1:14" x14ac:dyDescent="0.25">
      <c r="A77" t="str">
        <f t="shared" si="26"/>
        <v>1147664C-6E6C-4BC7-A5D5-32E744F42332</v>
      </c>
      <c r="B77" t="str">
        <f>Country!A62</f>
        <v>EAD27A14-586C-4622-8D28-CF49967B11A5</v>
      </c>
      <c r="C77" s="5" t="s">
        <v>134</v>
      </c>
      <c r="D77" t="str">
        <f>OrganisationV!B$10</f>
        <v>85C84793-E5EB-4A5F-92DF-B2C3846641CD</v>
      </c>
      <c r="E77" t="s">
        <v>2</v>
      </c>
      <c r="F77" t="s">
        <v>2</v>
      </c>
      <c r="G77" s="3" t="str">
        <f>VLOOKUP("lowdate",DateConstants,2)</f>
        <v>1850-01-01 00:00:00</v>
      </c>
      <c r="H77" s="3">
        <v>27553.999988425927</v>
      </c>
      <c r="I77" s="5" t="s">
        <v>25</v>
      </c>
      <c r="J77" s="5" t="s">
        <v>26</v>
      </c>
      <c r="K77" t="str">
        <f>Constants!$B$4</f>
        <v>administrator@footballoracle.co.uk</v>
      </c>
      <c r="L77" s="2" t="str">
        <f t="shared" ca="1" si="27"/>
        <v>2014-08-22 08:22:04</v>
      </c>
      <c r="M77" t="str">
        <f t="shared" si="28"/>
        <v>administrator@footballoracle.co.uk</v>
      </c>
      <c r="N77" s="2" t="str">
        <f t="shared" ca="1" si="20"/>
        <v>2014-08-22 08:22:04</v>
      </c>
    </row>
    <row r="78" spans="1:14" x14ac:dyDescent="0.25">
      <c r="A78" t="str">
        <f t="shared" si="26"/>
        <v>53BCC09C-66FF-4A1F-9751-0FDB054F302C</v>
      </c>
      <c r="B78" t="str">
        <f>B77</f>
        <v>EAD27A14-586C-4622-8D28-CF49967B11A5</v>
      </c>
      <c r="C78" s="5" t="s">
        <v>135</v>
      </c>
      <c r="D78" t="str">
        <f>OrganisationV!B$10</f>
        <v>85C84793-E5EB-4A5F-92DF-B2C3846641CD</v>
      </c>
      <c r="E78" t="s">
        <v>2</v>
      </c>
      <c r="F78" t="s">
        <v>2</v>
      </c>
      <c r="G78" s="3">
        <v>27554</v>
      </c>
      <c r="H78" s="3" t="str">
        <f>VLOOKUP("highdate",DateConstants,2)</f>
        <v>2999-12-31  23:59:59</v>
      </c>
      <c r="I78" s="5" t="s">
        <v>25</v>
      </c>
      <c r="J78" s="5" t="s">
        <v>26</v>
      </c>
      <c r="K78" t="str">
        <f>Constants!$B$4</f>
        <v>administrator@footballoracle.co.uk</v>
      </c>
      <c r="L78" s="2" t="str">
        <f t="shared" ca="1" si="27"/>
        <v>2014-08-22 08:22:04</v>
      </c>
      <c r="M78" t="str">
        <f t="shared" si="28"/>
        <v>administrator@footballoracle.co.uk</v>
      </c>
      <c r="N78" s="2" t="str">
        <f t="shared" ca="1" si="20"/>
        <v>2014-08-22 08:22:04</v>
      </c>
    </row>
    <row r="79" spans="1:14" x14ac:dyDescent="0.25">
      <c r="A79" t="str">
        <f t="shared" si="26"/>
        <v>AE898E5A-FEDE-4AA3-A5D9-025999C5AE29</v>
      </c>
      <c r="B79" t="str">
        <f>Country!A63</f>
        <v>47C52514-81FB-453E-AE1F-A4708B322F35</v>
      </c>
      <c r="C79" s="5" t="s">
        <v>136</v>
      </c>
      <c r="D79" t="str">
        <f>OrganisationV!B$10</f>
        <v>85C84793-E5EB-4A5F-92DF-B2C3846641CD</v>
      </c>
      <c r="E79" t="s">
        <v>2</v>
      </c>
      <c r="F79" t="s">
        <v>2</v>
      </c>
      <c r="G79" s="3" t="str">
        <f>VLOOKUP("lowdate",DateConstants,2)</f>
        <v>1850-01-01 00:00:00</v>
      </c>
      <c r="H79" s="3">
        <v>30475.999988425927</v>
      </c>
      <c r="I79" s="5" t="s">
        <v>25</v>
      </c>
      <c r="J79" s="5" t="s">
        <v>26</v>
      </c>
      <c r="K79" t="str">
        <f>Constants!$B$4</f>
        <v>administrator@footballoracle.co.uk</v>
      </c>
      <c r="L79" s="2" t="str">
        <f t="shared" ca="1" si="27"/>
        <v>2014-08-22 08:22:04</v>
      </c>
      <c r="M79" t="str">
        <f t="shared" si="28"/>
        <v>administrator@footballoracle.co.uk</v>
      </c>
      <c r="N79" s="2" t="str">
        <f t="shared" ca="1" si="20"/>
        <v>2014-08-22 08:22:04</v>
      </c>
    </row>
    <row r="80" spans="1:14" x14ac:dyDescent="0.25">
      <c r="A80" t="str">
        <f t="shared" si="26"/>
        <v>F9E37AC4-6DAD-4A1C-90DA-E395415AE147</v>
      </c>
      <c r="B80" t="str">
        <f>B79</f>
        <v>47C52514-81FB-453E-AE1F-A4708B322F35</v>
      </c>
      <c r="C80" s="5" t="s">
        <v>137</v>
      </c>
      <c r="D80" t="str">
        <f>OrganisationV!B$10</f>
        <v>85C84793-E5EB-4A5F-92DF-B2C3846641CD</v>
      </c>
      <c r="E80" t="s">
        <v>2</v>
      </c>
      <c r="F80" t="s">
        <v>2</v>
      </c>
      <c r="G80" s="3">
        <v>30476</v>
      </c>
      <c r="H80" s="3" t="str">
        <f t="shared" ref="H80:H87" si="29">VLOOKUP("highdate",DateConstants,2)</f>
        <v>2999-12-31  23:59:59</v>
      </c>
      <c r="I80" s="5" t="s">
        <v>25</v>
      </c>
      <c r="J80" s="5" t="s">
        <v>26</v>
      </c>
      <c r="K80" t="str">
        <f>Constants!$B$4</f>
        <v>administrator@footballoracle.co.uk</v>
      </c>
      <c r="L80" s="2" t="str">
        <f t="shared" ca="1" si="27"/>
        <v>2014-08-22 08:22:04</v>
      </c>
      <c r="M80" t="str">
        <f t="shared" si="28"/>
        <v>administrator@footballoracle.co.uk</v>
      </c>
      <c r="N80" s="2" t="str">
        <f t="shared" ca="1" si="20"/>
        <v>2014-08-22 08:22:04</v>
      </c>
    </row>
    <row r="81" spans="1:14" x14ac:dyDescent="0.25">
      <c r="A81" t="str">
        <f t="shared" si="26"/>
        <v>FF228B38-C7E3-452A-9F35-F5395A890E39</v>
      </c>
      <c r="B81" t="str">
        <f>Country!A64</f>
        <v>EAD0E55A-71F6-4CF2-9C5A-CED33144138D</v>
      </c>
      <c r="C81" s="5" t="s">
        <v>138</v>
      </c>
      <c r="D81" t="str">
        <f>OrganisationV!B$10</f>
        <v>85C84793-E5EB-4A5F-92DF-B2C3846641CD</v>
      </c>
      <c r="E81" t="s">
        <v>2</v>
      </c>
      <c r="F81" t="s">
        <v>2</v>
      </c>
      <c r="G81" s="3" t="str">
        <f t="shared" ref="G81:G88" si="30">VLOOKUP("lowdate",DateConstants,2)</f>
        <v>1850-01-01 00:00:00</v>
      </c>
      <c r="H81" s="3" t="str">
        <f t="shared" si="29"/>
        <v>2999-12-31  23:59:59</v>
      </c>
      <c r="I81" s="5" t="s">
        <v>25</v>
      </c>
      <c r="J81" s="5" t="s">
        <v>26</v>
      </c>
      <c r="K81" t="str">
        <f>Constants!$B$4</f>
        <v>administrator@footballoracle.co.uk</v>
      </c>
      <c r="L81" s="2" t="str">
        <f t="shared" ca="1" si="27"/>
        <v>2014-08-22 08:22:04</v>
      </c>
      <c r="M81" t="str">
        <f t="shared" si="28"/>
        <v>administrator@footballoracle.co.uk</v>
      </c>
      <c r="N81" s="2" t="str">
        <f t="shared" ca="1" si="20"/>
        <v>2014-08-22 08:22:04</v>
      </c>
    </row>
    <row r="82" spans="1:14" x14ac:dyDescent="0.25">
      <c r="A82" t="str">
        <f t="shared" si="26"/>
        <v>46D83C25-E0CF-4A27-8F7C-D4AC167E0A7C</v>
      </c>
      <c r="B82" t="str">
        <f>Country!A65</f>
        <v>DD11E5BB-7613-4F4A-8582-30BB3F35FD60</v>
      </c>
      <c r="C82" s="5" t="s">
        <v>139</v>
      </c>
      <c r="D82" t="str">
        <f>OrganisationV!B$10</f>
        <v>85C84793-E5EB-4A5F-92DF-B2C3846641CD</v>
      </c>
      <c r="E82" t="s">
        <v>2</v>
      </c>
      <c r="F82" t="s">
        <v>2</v>
      </c>
      <c r="G82" s="3" t="str">
        <f t="shared" si="30"/>
        <v>1850-01-01 00:00:00</v>
      </c>
      <c r="H82" s="3" t="str">
        <f t="shared" si="29"/>
        <v>2999-12-31  23:59:59</v>
      </c>
      <c r="I82" s="5" t="s">
        <v>25</v>
      </c>
      <c r="J82" s="5" t="s">
        <v>26</v>
      </c>
      <c r="K82" t="str">
        <f>Constants!$B$4</f>
        <v>administrator@footballoracle.co.uk</v>
      </c>
      <c r="L82" s="2" t="str">
        <f t="shared" ca="1" si="27"/>
        <v>2014-08-22 08:22:04</v>
      </c>
      <c r="M82" t="str">
        <f t="shared" si="28"/>
        <v>administrator@footballoracle.co.uk</v>
      </c>
      <c r="N82" s="2" t="str">
        <f t="shared" ca="1" si="20"/>
        <v>2014-08-22 08:22:04</v>
      </c>
    </row>
    <row r="83" spans="1:14" x14ac:dyDescent="0.25">
      <c r="A83" t="str">
        <f t="shared" si="26"/>
        <v>C15F9985-FBB2-404F-8F5B-B27BD6A2B2D7</v>
      </c>
      <c r="B83" t="str">
        <f>Country!A66</f>
        <v>BFA50393-5904-4B36-9A7A-AC089068DCF0</v>
      </c>
      <c r="C83" s="5" t="s">
        <v>140</v>
      </c>
      <c r="D83" t="str">
        <f>OrganisationV!B$10</f>
        <v>85C84793-E5EB-4A5F-92DF-B2C3846641CD</v>
      </c>
      <c r="E83" t="s">
        <v>2</v>
      </c>
      <c r="F83" t="s">
        <v>2</v>
      </c>
      <c r="G83" s="3" t="str">
        <f t="shared" si="30"/>
        <v>1850-01-01 00:00:00</v>
      </c>
      <c r="H83" s="3" t="str">
        <f t="shared" si="29"/>
        <v>2999-12-31  23:59:59</v>
      </c>
      <c r="I83" s="5" t="s">
        <v>25</v>
      </c>
      <c r="J83" s="5" t="s">
        <v>26</v>
      </c>
      <c r="K83" t="str">
        <f>Constants!$B$4</f>
        <v>administrator@footballoracle.co.uk</v>
      </c>
      <c r="L83" s="2" t="str">
        <f t="shared" ca="1" si="27"/>
        <v>2014-08-22 08:22:04</v>
      </c>
      <c r="M83" t="str">
        <f t="shared" ref="M83:M89" si="31">K83</f>
        <v>administrator@footballoracle.co.uk</v>
      </c>
      <c r="N83" s="2" t="str">
        <f t="shared" ca="1" si="20"/>
        <v>2014-08-22 08:22:04</v>
      </c>
    </row>
    <row r="84" spans="1:14" x14ac:dyDescent="0.25">
      <c r="A84" t="str">
        <f t="shared" si="26"/>
        <v>29AF99FF-7538-4E3C-844E-399F2ECE13D8</v>
      </c>
      <c r="B84" t="str">
        <f>Country!A67</f>
        <v>A05964E6-BF40-4554-9F89-FACD1416454E</v>
      </c>
      <c r="C84" s="5" t="s">
        <v>141</v>
      </c>
      <c r="D84" t="str">
        <f>OrganisationV!B$10</f>
        <v>85C84793-E5EB-4A5F-92DF-B2C3846641CD</v>
      </c>
      <c r="E84" t="s">
        <v>2</v>
      </c>
      <c r="F84" t="s">
        <v>2</v>
      </c>
      <c r="G84" s="3" t="str">
        <f t="shared" si="30"/>
        <v>1850-01-01 00:00:00</v>
      </c>
      <c r="H84" s="3" t="str">
        <f t="shared" si="29"/>
        <v>2999-12-31  23:59:59</v>
      </c>
      <c r="I84" s="5" t="s">
        <v>25</v>
      </c>
      <c r="J84" s="5" t="s">
        <v>26</v>
      </c>
      <c r="K84" t="str">
        <f>Constants!$B$4</f>
        <v>administrator@footballoracle.co.uk</v>
      </c>
      <c r="L84" s="2" t="str">
        <f t="shared" ca="1" si="27"/>
        <v>2014-08-22 08:22:04</v>
      </c>
      <c r="M84" t="str">
        <f t="shared" si="31"/>
        <v>administrator@footballoracle.co.uk</v>
      </c>
      <c r="N84" s="2" t="str">
        <f t="shared" ca="1" si="20"/>
        <v>2014-08-22 08:22:04</v>
      </c>
    </row>
    <row r="85" spans="1:14" x14ac:dyDescent="0.25">
      <c r="A85" t="str">
        <f t="shared" si="26"/>
        <v>FBE153F3-7A25-4D0D-9BE7-6879EF6ADD5C</v>
      </c>
      <c r="B85" t="str">
        <f>Country!A68</f>
        <v>A7487F97-CDC7-4789-A7C8-493165ACB7C0</v>
      </c>
      <c r="C85" s="5" t="s">
        <v>142</v>
      </c>
      <c r="D85" t="str">
        <f>OrganisationV!B$10</f>
        <v>85C84793-E5EB-4A5F-92DF-B2C3846641CD</v>
      </c>
      <c r="E85" t="s">
        <v>2</v>
      </c>
      <c r="F85" t="s">
        <v>2</v>
      </c>
      <c r="G85" s="3" t="str">
        <f t="shared" si="30"/>
        <v>1850-01-01 00:00:00</v>
      </c>
      <c r="H85" s="3" t="str">
        <f t="shared" si="29"/>
        <v>2999-12-31  23:59:59</v>
      </c>
      <c r="I85" s="5" t="s">
        <v>25</v>
      </c>
      <c r="J85" s="5" t="s">
        <v>26</v>
      </c>
      <c r="K85" t="str">
        <f>Constants!$B$4</f>
        <v>administrator@footballoracle.co.uk</v>
      </c>
      <c r="L85" s="2" t="str">
        <f t="shared" ca="1" si="27"/>
        <v>2014-08-22 08:22:04</v>
      </c>
      <c r="M85" t="str">
        <f t="shared" si="31"/>
        <v>administrator@footballoracle.co.uk</v>
      </c>
      <c r="N85" s="2" t="str">
        <f t="shared" ca="1" si="20"/>
        <v>2014-08-22 08:22:04</v>
      </c>
    </row>
    <row r="86" spans="1:14" x14ac:dyDescent="0.25">
      <c r="A86" t="str">
        <f t="shared" si="26"/>
        <v>8471B0E7-BBDA-4F12-AE07-6466BA99A875</v>
      </c>
      <c r="B86" t="str">
        <f>Country!A69</f>
        <v>EDA5AEFB-58E7-4762-B4ED-5C8236F55FFD</v>
      </c>
      <c r="C86" s="5" t="s">
        <v>143</v>
      </c>
      <c r="D86" t="str">
        <f>OrganisationV!B$10</f>
        <v>85C84793-E5EB-4A5F-92DF-B2C3846641CD</v>
      </c>
      <c r="E86" t="s">
        <v>2</v>
      </c>
      <c r="F86" t="s">
        <v>2</v>
      </c>
      <c r="G86" s="3" t="str">
        <f t="shared" si="30"/>
        <v>1850-01-01 00:00:00</v>
      </c>
      <c r="H86" s="3" t="str">
        <f t="shared" si="29"/>
        <v>2999-12-31  23:59:59</v>
      </c>
      <c r="I86" s="5" t="s">
        <v>25</v>
      </c>
      <c r="J86" s="5" t="s">
        <v>26</v>
      </c>
      <c r="K86" t="str">
        <f>Constants!$B$4</f>
        <v>administrator@footballoracle.co.uk</v>
      </c>
      <c r="L86" s="2" t="str">
        <f t="shared" ca="1" si="27"/>
        <v>2014-08-22 08:22:04</v>
      </c>
      <c r="M86" t="str">
        <f t="shared" si="31"/>
        <v>administrator@footballoracle.co.uk</v>
      </c>
      <c r="N86" s="2" t="str">
        <f t="shared" ca="1" si="20"/>
        <v>2014-08-22 08:22:04</v>
      </c>
    </row>
    <row r="87" spans="1:14" x14ac:dyDescent="0.25">
      <c r="A87" t="str">
        <f t="shared" si="26"/>
        <v>1DED4A7C-7811-49EF-9AF5-9FA159A9A469</v>
      </c>
      <c r="B87" t="str">
        <f>Country!A70</f>
        <v>3A8EBEB6-7EFD-49AD-9996-2D285DDF25E5</v>
      </c>
      <c r="C87" s="5" t="s">
        <v>144</v>
      </c>
      <c r="D87" t="str">
        <f>OrganisationV!B$10</f>
        <v>85C84793-E5EB-4A5F-92DF-B2C3846641CD</v>
      </c>
      <c r="E87" t="s">
        <v>2</v>
      </c>
      <c r="F87" t="s">
        <v>2</v>
      </c>
      <c r="G87" s="3" t="str">
        <f t="shared" si="30"/>
        <v>1850-01-01 00:00:00</v>
      </c>
      <c r="H87" s="3" t="str">
        <f t="shared" si="29"/>
        <v>2999-12-31  23:59:59</v>
      </c>
      <c r="I87" s="5" t="s">
        <v>25</v>
      </c>
      <c r="J87" s="5" t="s">
        <v>26</v>
      </c>
      <c r="K87" t="str">
        <f>Constants!$B$4</f>
        <v>administrator@footballoracle.co.uk</v>
      </c>
      <c r="L87" s="2" t="str">
        <f t="shared" ca="1" si="27"/>
        <v>2014-08-22 08:22:04</v>
      </c>
      <c r="M87" t="str">
        <f t="shared" si="31"/>
        <v>administrator@footballoracle.co.uk</v>
      </c>
      <c r="N87" s="2" t="str">
        <f t="shared" ca="1" si="20"/>
        <v>2014-08-22 08:22:04</v>
      </c>
    </row>
    <row r="88" spans="1:14" x14ac:dyDescent="0.25">
      <c r="A88" t="str">
        <f t="shared" si="26"/>
        <v>4107BC85-B3AB-44A9-9B14-1B88C55108FC</v>
      </c>
      <c r="B88" t="str">
        <f>Country!A71</f>
        <v>C0D4ECB8-8427-49D2-A7AA-A29ABC438D07</v>
      </c>
      <c r="C88" s="5" t="s">
        <v>145</v>
      </c>
      <c r="D88" t="str">
        <f>OrganisationV!B$10</f>
        <v>85C84793-E5EB-4A5F-92DF-B2C3846641CD</v>
      </c>
      <c r="E88" t="s">
        <v>2</v>
      </c>
      <c r="F88" t="s">
        <v>2</v>
      </c>
      <c r="G88" s="3" t="str">
        <f t="shared" si="30"/>
        <v>1850-01-01 00:00:00</v>
      </c>
      <c r="H88" s="3">
        <v>22075.999988425927</v>
      </c>
      <c r="I88" s="5" t="s">
        <v>25</v>
      </c>
      <c r="J88" s="5" t="s">
        <v>26</v>
      </c>
      <c r="K88" t="str">
        <f>Constants!$B$4</f>
        <v>administrator@footballoracle.co.uk</v>
      </c>
      <c r="L88" s="2" t="str">
        <f t="shared" ca="1" si="27"/>
        <v>2014-08-22 08:22:04</v>
      </c>
      <c r="M88" t="str">
        <f t="shared" si="31"/>
        <v>administrator@footballoracle.co.uk</v>
      </c>
      <c r="N88" s="2" t="str">
        <f t="shared" ca="1" si="20"/>
        <v>2014-08-22 08:22:04</v>
      </c>
    </row>
    <row r="89" spans="1:14" x14ac:dyDescent="0.25">
      <c r="A89" t="str">
        <f t="shared" ref="A89" si="32">GetGuid()</f>
        <v>BEF3663D-531A-4D7A-AAAA-0D3B4F68896A</v>
      </c>
      <c r="B89" t="str">
        <f>B88</f>
        <v>C0D4ECB8-8427-49D2-A7AA-A29ABC438D07</v>
      </c>
      <c r="C89" s="5" t="s">
        <v>146</v>
      </c>
      <c r="D89" t="str">
        <f>OrganisationV!B$10</f>
        <v>85C84793-E5EB-4A5F-92DF-B2C3846641CD</v>
      </c>
      <c r="E89" t="s">
        <v>2</v>
      </c>
      <c r="F89" t="s">
        <v>2</v>
      </c>
      <c r="G89" s="3">
        <v>22076</v>
      </c>
      <c r="H89" s="3" t="str">
        <f>VLOOKUP("highdate",DateConstants,2)</f>
        <v>2999-12-31  23:59:59</v>
      </c>
      <c r="I89" s="5" t="s">
        <v>25</v>
      </c>
      <c r="J89" s="5" t="s">
        <v>26</v>
      </c>
      <c r="K89" t="str">
        <f>Constants!$B$4</f>
        <v>administrator@footballoracle.co.uk</v>
      </c>
      <c r="L89" s="2" t="str">
        <f t="shared" ca="1" si="27"/>
        <v>2014-08-22 08:22:04</v>
      </c>
      <c r="M89" t="str">
        <f t="shared" si="31"/>
        <v>administrator@footballoracle.co.uk</v>
      </c>
      <c r="N89" s="2" t="str">
        <f t="shared" ca="1" si="20"/>
        <v>2014-08-22 08:22:04</v>
      </c>
    </row>
    <row r="90" spans="1:14" x14ac:dyDescent="0.25">
      <c r="A90" t="str">
        <f t="shared" si="26"/>
        <v>6198D93D-C986-4DEA-A62E-5BCF3C397283</v>
      </c>
      <c r="B90" t="str">
        <f>Country!A72</f>
        <v>94FCBA04-478E-4A0D-8566-0CFEE7FFA8CD</v>
      </c>
      <c r="C90" s="5" t="s">
        <v>148</v>
      </c>
      <c r="D90" t="str">
        <f>OrganisationV!B$11</f>
        <v>AE599E04-6517-4477-AB4F-7FA638B2B179</v>
      </c>
      <c r="E90" t="s">
        <v>2</v>
      </c>
      <c r="F90" t="s">
        <v>2</v>
      </c>
      <c r="G90" s="3" t="str">
        <f>VLOOKUP("lowdate",DateConstants,2)</f>
        <v>1850-01-01 00:00:00</v>
      </c>
      <c r="H90" s="3" t="str">
        <f>VLOOKUP("highdate",DateConstants,2)</f>
        <v>2999-12-31  23:59:59</v>
      </c>
      <c r="I90" s="5" t="s">
        <v>25</v>
      </c>
      <c r="J90" s="5" t="s">
        <v>26</v>
      </c>
      <c r="K90" t="str">
        <f>Constants!$B$4</f>
        <v>administrator@footballoracle.co.uk</v>
      </c>
      <c r="L90" s="2" t="str">
        <f t="shared" ca="1" si="27"/>
        <v>2014-08-22 08:22:04</v>
      </c>
      <c r="M90" t="str">
        <f t="shared" ref="M90" si="33">K90</f>
        <v>administrator@footballoracle.co.uk</v>
      </c>
      <c r="N90" s="2" t="str">
        <f t="shared" ca="1" si="20"/>
        <v>2014-08-22 08:22:04</v>
      </c>
    </row>
    <row r="91" spans="1:14" x14ac:dyDescent="0.25">
      <c r="A91" t="str">
        <f t="shared" si="26"/>
        <v>D6F14643-0DEF-4AF8-A333-597E9B9115E9</v>
      </c>
      <c r="B91" t="str">
        <f>Country!A73</f>
        <v>2450AE00-2E42-4450-B512-FF74DDD42ADA</v>
      </c>
      <c r="C91" s="5" t="s">
        <v>149</v>
      </c>
      <c r="D91" t="str">
        <f>OrganisationV!B$11</f>
        <v>AE599E04-6517-4477-AB4F-7FA638B2B179</v>
      </c>
      <c r="E91" t="s">
        <v>2</v>
      </c>
      <c r="F91" t="s">
        <v>2</v>
      </c>
      <c r="G91" s="3" t="str">
        <f>VLOOKUP("lowdate",DateConstants,2)</f>
        <v>1850-01-01 00:00:00</v>
      </c>
      <c r="H91" s="3" t="str">
        <f>VLOOKUP("highdate",DateConstants,2)</f>
        <v>2999-12-31  23:59:59</v>
      </c>
      <c r="I91" s="5" t="s">
        <v>25</v>
      </c>
      <c r="J91" s="5" t="s">
        <v>26</v>
      </c>
      <c r="K91" t="str">
        <f>Constants!$B$4</f>
        <v>administrator@footballoracle.co.uk</v>
      </c>
      <c r="L91" s="2" t="str">
        <f t="shared" ca="1" si="27"/>
        <v>2014-08-22 08:22:04</v>
      </c>
      <c r="M91" t="str">
        <f t="shared" ref="M91:M103" si="34">K91</f>
        <v>administrator@footballoracle.co.uk</v>
      </c>
      <c r="N91" s="2" t="str">
        <f t="shared" ca="1" si="20"/>
        <v>2014-08-22 08:22:04</v>
      </c>
    </row>
    <row r="92" spans="1:14" x14ac:dyDescent="0.25">
      <c r="A92" t="str">
        <f t="shared" ref="A92:A107" si="35">GetGuid()</f>
        <v>FB7B0C2E-9C10-402D-9B68-11DA55CFC7DC</v>
      </c>
      <c r="B92" t="str">
        <f>Country!A74</f>
        <v>2345BC4A-77B4-462A-B677-80F9A7A8C681</v>
      </c>
      <c r="C92" s="5" t="s">
        <v>150</v>
      </c>
      <c r="D92" t="str">
        <f>OrganisationV!B$11</f>
        <v>AE599E04-6517-4477-AB4F-7FA638B2B179</v>
      </c>
      <c r="E92" t="s">
        <v>2</v>
      </c>
      <c r="F92" t="s">
        <v>2</v>
      </c>
      <c r="G92" s="3" t="str">
        <f>VLOOKUP("lowdate",DateConstants,2)</f>
        <v>1850-01-01 00:00:00</v>
      </c>
      <c r="H92" s="3" t="str">
        <f>VLOOKUP("highdate",DateConstants,2)</f>
        <v>2999-12-31  23:59:59</v>
      </c>
      <c r="I92" s="5" t="s">
        <v>25</v>
      </c>
      <c r="J92" s="5" t="s">
        <v>26</v>
      </c>
      <c r="K92" t="str">
        <f>Constants!$B$4</f>
        <v>administrator@footballoracle.co.uk</v>
      </c>
      <c r="L92" s="2" t="str">
        <f t="shared" ca="1" si="27"/>
        <v>2014-08-22 08:22:04</v>
      </c>
      <c r="M92" t="str">
        <f t="shared" si="34"/>
        <v>administrator@footballoracle.co.uk</v>
      </c>
      <c r="N92" s="2" t="str">
        <f t="shared" ca="1" si="20"/>
        <v>2014-08-22 08:22:04</v>
      </c>
    </row>
    <row r="93" spans="1:14" x14ac:dyDescent="0.25">
      <c r="A93" t="str">
        <f t="shared" si="35"/>
        <v>967C4DDF-1958-46CF-8026-CB6A70CF5203</v>
      </c>
      <c r="B93" t="str">
        <f>Country!A75</f>
        <v>069D7B41-365F-4CAF-9AAD-09C1CE642F03</v>
      </c>
      <c r="C93" s="5" t="s">
        <v>151</v>
      </c>
      <c r="D93" t="str">
        <f>OrganisationV!B$11</f>
        <v>AE599E04-6517-4477-AB4F-7FA638B2B179</v>
      </c>
      <c r="E93" t="s">
        <v>2</v>
      </c>
      <c r="F93" t="s">
        <v>2</v>
      </c>
      <c r="G93" s="3" t="str">
        <f>VLOOKUP("lowdate",DateConstants,2)</f>
        <v>1850-01-01 00:00:00</v>
      </c>
      <c r="H93" s="3">
        <v>22075.999988425927</v>
      </c>
      <c r="I93" s="5" t="s">
        <v>25</v>
      </c>
      <c r="J93" s="5" t="s">
        <v>26</v>
      </c>
      <c r="K93" t="str">
        <f>Constants!$B$4</f>
        <v>administrator@footballoracle.co.uk</v>
      </c>
      <c r="L93" s="2" t="str">
        <f t="shared" ca="1" si="27"/>
        <v>2014-08-22 08:22:04</v>
      </c>
      <c r="M93" t="str">
        <f t="shared" si="34"/>
        <v>administrator@footballoracle.co.uk</v>
      </c>
      <c r="N93" s="2" t="str">
        <f t="shared" ca="1" si="20"/>
        <v>2014-08-22 08:22:04</v>
      </c>
    </row>
    <row r="94" spans="1:14" x14ac:dyDescent="0.25">
      <c r="A94" t="str">
        <f t="shared" si="35"/>
        <v>25987CBD-3EF2-4F9F-8492-2A4EA5A6474A</v>
      </c>
      <c r="B94" t="str">
        <f>B93</f>
        <v>069D7B41-365F-4CAF-9AAD-09C1CE642F03</v>
      </c>
      <c r="C94" s="5" t="s">
        <v>152</v>
      </c>
      <c r="D94" t="str">
        <f>OrganisationV!B$11</f>
        <v>AE599E04-6517-4477-AB4F-7FA638B2B179</v>
      </c>
      <c r="E94" t="s">
        <v>2</v>
      </c>
      <c r="F94" t="s">
        <v>2</v>
      </c>
      <c r="G94" s="3">
        <v>22076</v>
      </c>
      <c r="H94" s="3">
        <v>33763.999988425923</v>
      </c>
      <c r="I94" s="5" t="s">
        <v>25</v>
      </c>
      <c r="J94" s="5" t="s">
        <v>26</v>
      </c>
      <c r="K94" t="str">
        <f>Constants!$B$4</f>
        <v>administrator@footballoracle.co.uk</v>
      </c>
      <c r="L94" s="2" t="str">
        <f t="shared" ca="1" si="27"/>
        <v>2014-08-22 08:22:04</v>
      </c>
      <c r="M94" t="str">
        <f t="shared" si="34"/>
        <v>administrator@footballoracle.co.uk</v>
      </c>
      <c r="N94" s="2" t="str">
        <f t="shared" ca="1" si="20"/>
        <v>2014-08-22 08:22:04</v>
      </c>
    </row>
    <row r="95" spans="1:14" x14ac:dyDescent="0.25">
      <c r="A95" t="str">
        <f t="shared" si="35"/>
        <v>0788752F-E6D9-4E63-92B1-B6908EA33BD0</v>
      </c>
      <c r="B95" t="str">
        <f>B93</f>
        <v>069D7B41-365F-4CAF-9AAD-09C1CE642F03</v>
      </c>
      <c r="C95" s="5" t="s">
        <v>153</v>
      </c>
      <c r="D95" t="str">
        <f>OrganisationV!B$11</f>
        <v>AE599E04-6517-4477-AB4F-7FA638B2B179</v>
      </c>
      <c r="E95" t="s">
        <v>2</v>
      </c>
      <c r="F95" t="s">
        <v>2</v>
      </c>
      <c r="G95" s="3">
        <v>33764</v>
      </c>
      <c r="H95" s="3" t="str">
        <f>VLOOKUP("highdate",DateConstants,2)</f>
        <v>2999-12-31  23:59:59</v>
      </c>
      <c r="I95" s="5" t="s">
        <v>25</v>
      </c>
      <c r="J95" s="5" t="s">
        <v>26</v>
      </c>
      <c r="K95" t="str">
        <f>Constants!$B$4</f>
        <v>administrator@footballoracle.co.uk</v>
      </c>
      <c r="L95" s="2" t="str">
        <f t="shared" ca="1" si="27"/>
        <v>2014-08-22 08:22:04</v>
      </c>
      <c r="M95" t="str">
        <f t="shared" si="34"/>
        <v>administrator@footballoracle.co.uk</v>
      </c>
      <c r="N95" s="2" t="str">
        <f t="shared" ca="1" si="20"/>
        <v>2014-08-22 08:22:04</v>
      </c>
    </row>
    <row r="96" spans="1:14" x14ac:dyDescent="0.25">
      <c r="A96" t="str">
        <f t="shared" si="35"/>
        <v>5F4B1F04-B763-450B-A5DF-08AEE4ECD857</v>
      </c>
      <c r="B96" t="str">
        <f>Country!A76</f>
        <v>6A51AA05-6901-4160-9388-1AAE8C0741CD</v>
      </c>
      <c r="C96" s="5" t="s">
        <v>154</v>
      </c>
      <c r="D96" t="str">
        <f>OrganisationV!B$11</f>
        <v>AE599E04-6517-4477-AB4F-7FA638B2B179</v>
      </c>
      <c r="E96" t="s">
        <v>2</v>
      </c>
      <c r="F96" t="s">
        <v>2</v>
      </c>
      <c r="G96" s="3" t="str">
        <f>VLOOKUP("lowdate",DateConstants,2)</f>
        <v>1850-01-01 00:00:00</v>
      </c>
      <c r="H96" s="3">
        <v>22075.999988425927</v>
      </c>
      <c r="I96" s="5" t="s">
        <v>25</v>
      </c>
      <c r="J96" s="5" t="s">
        <v>26</v>
      </c>
      <c r="K96" t="str">
        <f>Constants!$B$4</f>
        <v>administrator@footballoracle.co.uk</v>
      </c>
      <c r="L96" s="2" t="str">
        <f t="shared" ca="1" si="27"/>
        <v>2014-08-22 08:22:04</v>
      </c>
      <c r="M96" t="str">
        <f t="shared" si="34"/>
        <v>administrator@footballoracle.co.uk</v>
      </c>
      <c r="N96" s="2" t="str">
        <f t="shared" ca="1" si="20"/>
        <v>2014-08-22 08:22:04</v>
      </c>
    </row>
    <row r="97" spans="1:14" x14ac:dyDescent="0.25">
      <c r="A97" t="str">
        <f t="shared" si="35"/>
        <v>85A19865-7700-46D7-8801-C72698232367</v>
      </c>
      <c r="B97" t="str">
        <f>B96</f>
        <v>6A51AA05-6901-4160-9388-1AAE8C0741CD</v>
      </c>
      <c r="C97" s="5" t="s">
        <v>155</v>
      </c>
      <c r="D97" t="str">
        <f>OrganisationV!B$11</f>
        <v>AE599E04-6517-4477-AB4F-7FA638B2B179</v>
      </c>
      <c r="E97" t="s">
        <v>2</v>
      </c>
      <c r="F97" t="s">
        <v>2</v>
      </c>
      <c r="G97" s="3">
        <v>22076</v>
      </c>
      <c r="H97" s="3">
        <v>23170.999988425927</v>
      </c>
      <c r="I97" s="5" t="s">
        <v>25</v>
      </c>
      <c r="J97" s="5" t="s">
        <v>26</v>
      </c>
      <c r="K97" t="str">
        <f>Constants!$B$4</f>
        <v>administrator@footballoracle.co.uk</v>
      </c>
      <c r="L97" s="2" t="str">
        <f t="shared" ca="1" si="27"/>
        <v>2014-08-22 08:22:04</v>
      </c>
      <c r="M97" t="str">
        <f t="shared" si="34"/>
        <v>administrator@footballoracle.co.uk</v>
      </c>
      <c r="N97" s="2" t="str">
        <f t="shared" ca="1" si="20"/>
        <v>2014-08-22 08:22:04</v>
      </c>
    </row>
    <row r="98" spans="1:14" x14ac:dyDescent="0.25">
      <c r="A98" t="str">
        <f t="shared" si="35"/>
        <v>5D57AF18-87B3-42FF-9662-F4452FF34559</v>
      </c>
      <c r="B98" t="str">
        <f>B96</f>
        <v>6A51AA05-6901-4160-9388-1AAE8C0741CD</v>
      </c>
      <c r="C98" s="5" t="s">
        <v>156</v>
      </c>
      <c r="D98" t="str">
        <f>OrganisationV!B$11</f>
        <v>AE599E04-6517-4477-AB4F-7FA638B2B179</v>
      </c>
      <c r="E98" t="s">
        <v>2</v>
      </c>
      <c r="F98" t="s">
        <v>2</v>
      </c>
      <c r="G98" s="3">
        <v>23171</v>
      </c>
      <c r="H98" s="3">
        <v>26092.999988425927</v>
      </c>
      <c r="I98" s="5" t="s">
        <v>25</v>
      </c>
      <c r="J98" s="5" t="s">
        <v>26</v>
      </c>
      <c r="K98" t="str">
        <f>Constants!$B$4</f>
        <v>administrator@footballoracle.co.uk</v>
      </c>
      <c r="L98" s="2" t="str">
        <f t="shared" ca="1" si="27"/>
        <v>2014-08-22 08:22:04</v>
      </c>
      <c r="M98" t="str">
        <f t="shared" si="34"/>
        <v>administrator@footballoracle.co.uk</v>
      </c>
      <c r="N98" s="2" t="str">
        <f t="shared" ca="1" si="20"/>
        <v>2014-08-22 08:22:04</v>
      </c>
    </row>
    <row r="99" spans="1:14" x14ac:dyDescent="0.25">
      <c r="A99" t="str">
        <f t="shared" si="35"/>
        <v>3041A18F-63F0-482E-B5CF-A64769202B9A</v>
      </c>
      <c r="B99" t="str">
        <f>B96</f>
        <v>6A51AA05-6901-4160-9388-1AAE8C0741CD</v>
      </c>
      <c r="C99" s="5" t="s">
        <v>157</v>
      </c>
      <c r="D99" t="str">
        <f>OrganisationV!B$11</f>
        <v>AE599E04-6517-4477-AB4F-7FA638B2B179</v>
      </c>
      <c r="E99" t="s">
        <v>2</v>
      </c>
      <c r="F99" t="s">
        <v>2</v>
      </c>
      <c r="G99" s="3">
        <v>26093</v>
      </c>
      <c r="H99" s="3">
        <v>35589.999988425923</v>
      </c>
      <c r="I99" s="5" t="s">
        <v>25</v>
      </c>
      <c r="J99" s="5" t="s">
        <v>26</v>
      </c>
      <c r="K99" t="str">
        <f>Constants!$B$4</f>
        <v>administrator@footballoracle.co.uk</v>
      </c>
      <c r="L99" s="2" t="str">
        <f t="shared" ca="1" si="27"/>
        <v>2014-08-22 08:22:04</v>
      </c>
      <c r="M99" t="str">
        <f t="shared" si="34"/>
        <v>administrator@footballoracle.co.uk</v>
      </c>
      <c r="N99" s="2" t="str">
        <f t="shared" ca="1" si="20"/>
        <v>2014-08-22 08:22:04</v>
      </c>
    </row>
    <row r="100" spans="1:14" x14ac:dyDescent="0.25">
      <c r="A100" t="str">
        <f t="shared" si="35"/>
        <v>4C28BFF9-268A-44CD-AD94-0366C8A5AA3A</v>
      </c>
      <c r="B100" t="str">
        <f>B96</f>
        <v>6A51AA05-6901-4160-9388-1AAE8C0741CD</v>
      </c>
      <c r="C100" s="5" t="s">
        <v>158</v>
      </c>
      <c r="D100" t="str">
        <f>OrganisationV!B$11</f>
        <v>AE599E04-6517-4477-AB4F-7FA638B2B179</v>
      </c>
      <c r="E100" t="s">
        <v>2</v>
      </c>
      <c r="F100" t="s">
        <v>2</v>
      </c>
      <c r="G100" s="3">
        <v>35590</v>
      </c>
      <c r="H100" s="3" t="str">
        <f>VLOOKUP("highdate",DateConstants,2)</f>
        <v>2999-12-31  23:59:59</v>
      </c>
      <c r="I100" s="5" t="s">
        <v>25</v>
      </c>
      <c r="J100" s="5" t="s">
        <v>26</v>
      </c>
      <c r="K100" t="str">
        <f>Constants!$B$4</f>
        <v>administrator@footballoracle.co.uk</v>
      </c>
      <c r="L100" s="2" t="str">
        <f t="shared" ca="1" si="27"/>
        <v>2014-08-22 08:22:04</v>
      </c>
      <c r="M100" t="str">
        <f t="shared" si="34"/>
        <v>administrator@footballoracle.co.uk</v>
      </c>
      <c r="N100" s="2" t="str">
        <f t="shared" ca="1" si="20"/>
        <v>2014-08-22 08:22:04</v>
      </c>
    </row>
    <row r="101" spans="1:14" x14ac:dyDescent="0.25">
      <c r="A101" t="str">
        <f t="shared" si="35"/>
        <v>56894757-4D7F-46D4-A77F-09F07EC48CBA</v>
      </c>
      <c r="B101" t="str">
        <f>Country!A77</f>
        <v>EA3892BA-F552-41D9-AEDA-7CEC48F382E0</v>
      </c>
      <c r="C101" s="5" t="s">
        <v>159</v>
      </c>
      <c r="D101" t="str">
        <f>OrganisationV!B$11</f>
        <v>AE599E04-6517-4477-AB4F-7FA638B2B179</v>
      </c>
      <c r="E101" t="s">
        <v>2</v>
      </c>
      <c r="F101" t="s">
        <v>2</v>
      </c>
      <c r="G101" s="3" t="str">
        <f>VLOOKUP("lowdate",DateConstants,2)</f>
        <v>1850-01-01 00:00:00</v>
      </c>
      <c r="H101" s="3" t="str">
        <f>VLOOKUP("highdate",DateConstants,2)</f>
        <v>2999-12-31  23:59:59</v>
      </c>
      <c r="I101" s="5" t="s">
        <v>25</v>
      </c>
      <c r="J101" s="5" t="s">
        <v>26</v>
      </c>
      <c r="K101" t="str">
        <f>Constants!$B$4</f>
        <v>administrator@footballoracle.co.uk</v>
      </c>
      <c r="L101" s="2" t="str">
        <f t="shared" ca="1" si="27"/>
        <v>2014-08-22 08:22:04</v>
      </c>
      <c r="M101" t="str">
        <f t="shared" si="34"/>
        <v>administrator@footballoracle.co.uk</v>
      </c>
      <c r="N101" s="2" t="str">
        <f t="shared" ca="1" si="20"/>
        <v>2014-08-22 08:22:04</v>
      </c>
    </row>
    <row r="102" spans="1:14" x14ac:dyDescent="0.25">
      <c r="A102" t="str">
        <f t="shared" si="35"/>
        <v>66F45F7D-4306-49FC-AB57-1872C2CF3F36</v>
      </c>
      <c r="B102" t="str">
        <f>Country!A78</f>
        <v>8E726995-6815-4D60-829C-EB0E1A289165</v>
      </c>
      <c r="C102" s="5" t="s">
        <v>160</v>
      </c>
      <c r="D102" t="str">
        <f>OrganisationV!B$11</f>
        <v>AE599E04-6517-4477-AB4F-7FA638B2B179</v>
      </c>
      <c r="E102" t="s">
        <v>2</v>
      </c>
      <c r="F102" t="s">
        <v>2</v>
      </c>
      <c r="G102" s="3" t="str">
        <f>VLOOKUP("lowdate",DateConstants,2)</f>
        <v>1850-01-01 00:00:00</v>
      </c>
      <c r="H102" s="3" t="str">
        <f>VLOOKUP("highdate",DateConstants,2)</f>
        <v>2999-12-31  23:59:59</v>
      </c>
      <c r="I102" s="5" t="s">
        <v>25</v>
      </c>
      <c r="J102" s="5" t="s">
        <v>26</v>
      </c>
      <c r="K102" t="str">
        <f>Constants!$B$4</f>
        <v>administrator@footballoracle.co.uk</v>
      </c>
      <c r="L102" s="2" t="str">
        <f t="shared" ca="1" si="27"/>
        <v>2014-08-22 08:22:04</v>
      </c>
      <c r="M102" t="str">
        <f t="shared" si="34"/>
        <v>administrator@footballoracle.co.uk</v>
      </c>
      <c r="N102" s="2" t="str">
        <f t="shared" ca="1" si="20"/>
        <v>2014-08-22 08:22:04</v>
      </c>
    </row>
    <row r="103" spans="1:14" x14ac:dyDescent="0.25">
      <c r="A103" t="str">
        <f t="shared" si="35"/>
        <v>2C139180-E91D-4903-BFE6-B691B970199A</v>
      </c>
      <c r="B103" t="str">
        <f>Country!A79</f>
        <v>80A9D9C4-02BB-4C7C-A855-A2EAC07BBD0E</v>
      </c>
      <c r="C103" s="5" t="s">
        <v>161</v>
      </c>
      <c r="D103" t="str">
        <f>OrganisationV!B$11</f>
        <v>AE599E04-6517-4477-AB4F-7FA638B2B179</v>
      </c>
      <c r="E103" t="s">
        <v>2</v>
      </c>
      <c r="F103" t="s">
        <v>2</v>
      </c>
      <c r="G103" s="3" t="str">
        <f>VLOOKUP("lowdate",DateConstants,2)</f>
        <v>1850-01-01 00:00:00</v>
      </c>
      <c r="H103" s="3" t="str">
        <f>VLOOKUP("highdate",DateConstants,2)</f>
        <v>2999-12-31  23:59:59</v>
      </c>
      <c r="I103" s="5" t="s">
        <v>25</v>
      </c>
      <c r="J103" s="5" t="s">
        <v>26</v>
      </c>
      <c r="K103" t="str">
        <f>Constants!$B$4</f>
        <v>administrator@footballoracle.co.uk</v>
      </c>
      <c r="L103" s="2" t="str">
        <f t="shared" ca="1" si="27"/>
        <v>2014-08-22 08:22:04</v>
      </c>
      <c r="M103" t="str">
        <f t="shared" si="34"/>
        <v>administrator@footballoracle.co.uk</v>
      </c>
      <c r="N103" s="2" t="str">
        <f t="shared" ca="1" si="20"/>
        <v>2014-08-22 08:22:04</v>
      </c>
    </row>
    <row r="104" spans="1:14" x14ac:dyDescent="0.25">
      <c r="A104" t="str">
        <f t="shared" si="35"/>
        <v>EEB818F0-932C-412B-8B0F-2768F77621FB</v>
      </c>
      <c r="B104" t="str">
        <f>Country!A80</f>
        <v>0E3E70E7-B776-4864-9D32-51CC8FE44EF2</v>
      </c>
      <c r="C104" s="5" t="s">
        <v>163</v>
      </c>
      <c r="D104" t="str">
        <f>OrganisationV!B$12</f>
        <v>DC9B43BC-CE4B-465A-95DF-0C27469CCBA8</v>
      </c>
      <c r="E104" t="s">
        <v>2</v>
      </c>
      <c r="F104" t="s">
        <v>2</v>
      </c>
      <c r="G104" s="3" t="str">
        <f>VLOOKUP("lowdate",DateConstants,2)</f>
        <v>1850-01-01 00:00:00</v>
      </c>
      <c r="H104" s="3" t="str">
        <f>VLOOKUP("highdate",DateConstants,2)</f>
        <v>2999-12-31  23:59:59</v>
      </c>
      <c r="I104" s="5" t="s">
        <v>25</v>
      </c>
      <c r="J104" s="5" t="s">
        <v>26</v>
      </c>
      <c r="K104" t="str">
        <f>Constants!$B$4</f>
        <v>administrator@footballoracle.co.uk</v>
      </c>
      <c r="L104" s="2" t="str">
        <f t="shared" ca="1" si="27"/>
        <v>2014-08-22 08:22:04</v>
      </c>
      <c r="M104" t="str">
        <f t="shared" ref="M104" si="36">K104</f>
        <v>administrator@footballoracle.co.uk</v>
      </c>
      <c r="N104" s="2" t="str">
        <f t="shared" ca="1" si="20"/>
        <v>2014-08-22 08:22:04</v>
      </c>
    </row>
    <row r="105" spans="1:14" x14ac:dyDescent="0.25">
      <c r="A105" t="str">
        <f t="shared" si="35"/>
        <v>F51C8155-77F5-4CBB-99FD-4E0EAA2786F5</v>
      </c>
      <c r="B105" t="str">
        <f>Country!A81</f>
        <v>E999A588-C094-4BCC-A13E-D4F9D4664E46</v>
      </c>
      <c r="C105" s="5" t="s">
        <v>164</v>
      </c>
      <c r="D105" t="str">
        <f>OrganisationV!B$12</f>
        <v>DC9B43BC-CE4B-465A-95DF-0C27469CCBA8</v>
      </c>
      <c r="E105" t="s">
        <v>2</v>
      </c>
      <c r="F105" t="s">
        <v>2</v>
      </c>
      <c r="G105" s="3" t="str">
        <f>VLOOKUP("lowdate",DateConstants,2)</f>
        <v>1850-01-01 00:00:00</v>
      </c>
      <c r="H105" s="3">
        <v>28284.999988425927</v>
      </c>
      <c r="I105" s="5" t="s">
        <v>25</v>
      </c>
      <c r="J105" s="5" t="s">
        <v>26</v>
      </c>
      <c r="K105" t="str">
        <f>Constants!$B$4</f>
        <v>administrator@footballoracle.co.uk</v>
      </c>
      <c r="L105" s="2" t="str">
        <f t="shared" ca="1" si="27"/>
        <v>2014-08-22 08:22:04</v>
      </c>
      <c r="M105" t="str">
        <f t="shared" ref="M105:M117" si="37">K105</f>
        <v>administrator@footballoracle.co.uk</v>
      </c>
      <c r="N105" s="2" t="str">
        <f t="shared" ca="1" si="20"/>
        <v>2014-08-22 08:22:04</v>
      </c>
    </row>
    <row r="106" spans="1:14" x14ac:dyDescent="0.25">
      <c r="A106" t="str">
        <f t="shared" si="35"/>
        <v>773E679B-378F-4CF3-A7F4-EE13B0E40747</v>
      </c>
      <c r="B106" t="str">
        <f>B105</f>
        <v>E999A588-C094-4BCC-A13E-D4F9D4664E46</v>
      </c>
      <c r="C106" s="5" t="s">
        <v>165</v>
      </c>
      <c r="D106" t="str">
        <f>OrganisationV!B$12</f>
        <v>DC9B43BC-CE4B-465A-95DF-0C27469CCBA8</v>
      </c>
      <c r="E106" t="s">
        <v>2</v>
      </c>
      <c r="F106" t="s">
        <v>2</v>
      </c>
      <c r="G106" s="3">
        <v>28285</v>
      </c>
      <c r="H106" s="3" t="str">
        <f t="shared" ref="H106:H113" si="38">VLOOKUP("highdate",DateConstants,2)</f>
        <v>2999-12-31  23:59:59</v>
      </c>
      <c r="I106" s="5" t="s">
        <v>25</v>
      </c>
      <c r="J106" s="5" t="s">
        <v>26</v>
      </c>
      <c r="K106" t="str">
        <f>Constants!$B$4</f>
        <v>administrator@footballoracle.co.uk</v>
      </c>
      <c r="L106" s="2" t="str">
        <f t="shared" ca="1" si="27"/>
        <v>2014-08-22 08:22:04</v>
      </c>
      <c r="M106" t="str">
        <f t="shared" si="37"/>
        <v>administrator@footballoracle.co.uk</v>
      </c>
      <c r="N106" s="2" t="str">
        <f t="shared" ca="1" si="20"/>
        <v>2014-08-22 08:22:04</v>
      </c>
    </row>
    <row r="107" spans="1:14" x14ac:dyDescent="0.25">
      <c r="A107" t="str">
        <f t="shared" si="35"/>
        <v>24516985-6EC1-4498-B30F-7D2277252E28</v>
      </c>
      <c r="B107" t="str">
        <f>Country!A82</f>
        <v>A8766CFD-EA1A-4FD6-8B9D-6FFD4A28AD15</v>
      </c>
      <c r="C107" s="5" t="s">
        <v>166</v>
      </c>
      <c r="D107" t="str">
        <f>OrganisationV!B$12</f>
        <v>DC9B43BC-CE4B-465A-95DF-0C27469CCBA8</v>
      </c>
      <c r="E107" t="s">
        <v>2</v>
      </c>
      <c r="F107" t="s">
        <v>2</v>
      </c>
      <c r="G107" s="3" t="str">
        <f t="shared" ref="G107:G114" si="39">VLOOKUP("lowdate",DateConstants,2)</f>
        <v>1850-01-01 00:00:00</v>
      </c>
      <c r="H107" s="3" t="str">
        <f t="shared" si="38"/>
        <v>2999-12-31  23:59:59</v>
      </c>
      <c r="I107" s="5" t="s">
        <v>25</v>
      </c>
      <c r="J107" s="5" t="s">
        <v>26</v>
      </c>
      <c r="K107" t="str">
        <f>Constants!$B$4</f>
        <v>administrator@footballoracle.co.uk</v>
      </c>
      <c r="L107" s="2" t="str">
        <f t="shared" ca="1" si="27"/>
        <v>2014-08-22 08:22:04</v>
      </c>
      <c r="M107" t="str">
        <f t="shared" si="37"/>
        <v>administrator@footballoracle.co.uk</v>
      </c>
      <c r="N107" s="2" t="str">
        <f t="shared" ca="1" si="20"/>
        <v>2014-08-22 08:22:04</v>
      </c>
    </row>
    <row r="108" spans="1:14" x14ac:dyDescent="0.25">
      <c r="A108" t="str">
        <f t="shared" ref="A108:A123" si="40">GetGuid()</f>
        <v>8784CDAE-4EDD-4C85-9837-CC8649233854</v>
      </c>
      <c r="B108" t="str">
        <f>Country!A83</f>
        <v>C2C23AA6-AF81-4747-BEE1-445C6E55EAE0</v>
      </c>
      <c r="C108" s="5" t="s">
        <v>167</v>
      </c>
      <c r="D108" t="str">
        <f>OrganisationV!B$12</f>
        <v>DC9B43BC-CE4B-465A-95DF-0C27469CCBA8</v>
      </c>
      <c r="E108" t="s">
        <v>2</v>
      </c>
      <c r="F108" t="s">
        <v>2</v>
      </c>
      <c r="G108" s="3" t="str">
        <f t="shared" si="39"/>
        <v>1850-01-01 00:00:00</v>
      </c>
      <c r="H108" s="3" t="str">
        <f t="shared" si="38"/>
        <v>2999-12-31  23:59:59</v>
      </c>
      <c r="I108" s="5" t="s">
        <v>25</v>
      </c>
      <c r="J108" s="5" t="s">
        <v>26</v>
      </c>
      <c r="K108" t="str">
        <f>Constants!$B$4</f>
        <v>administrator@footballoracle.co.uk</v>
      </c>
      <c r="L108" s="2" t="str">
        <f t="shared" ca="1" si="27"/>
        <v>2014-08-22 08:22:04</v>
      </c>
      <c r="M108" t="str">
        <f t="shared" si="37"/>
        <v>administrator@footballoracle.co.uk</v>
      </c>
      <c r="N108" s="2" t="str">
        <f t="shared" ca="1" si="20"/>
        <v>2014-08-22 08:22:04</v>
      </c>
    </row>
    <row r="109" spans="1:14" x14ac:dyDescent="0.25">
      <c r="A109" t="str">
        <f t="shared" si="40"/>
        <v>20B28E54-CFEB-4A21-AD28-544AAF2023C9</v>
      </c>
      <c r="B109" t="str">
        <f>Country!A84</f>
        <v>93E9B7DF-8564-41BD-B2BC-BAA39BFADDD2</v>
      </c>
      <c r="C109" s="5" t="s">
        <v>168</v>
      </c>
      <c r="D109" t="str">
        <f>OrganisationV!B$12</f>
        <v>DC9B43BC-CE4B-465A-95DF-0C27469CCBA8</v>
      </c>
      <c r="E109" t="s">
        <v>2</v>
      </c>
      <c r="F109" t="s">
        <v>2</v>
      </c>
      <c r="G109" s="3" t="str">
        <f t="shared" si="39"/>
        <v>1850-01-01 00:00:00</v>
      </c>
      <c r="H109" s="3" t="str">
        <f t="shared" si="38"/>
        <v>2999-12-31  23:59:59</v>
      </c>
      <c r="I109" s="5" t="s">
        <v>25</v>
      </c>
      <c r="J109" s="5" t="s">
        <v>26</v>
      </c>
      <c r="K109" t="str">
        <f>Constants!$B$4</f>
        <v>administrator@footballoracle.co.uk</v>
      </c>
      <c r="L109" s="2" t="str">
        <f t="shared" ca="1" si="27"/>
        <v>2014-08-22 08:22:04</v>
      </c>
      <c r="M109" t="str">
        <f t="shared" si="37"/>
        <v>administrator@footballoracle.co.uk</v>
      </c>
      <c r="N109" s="2" t="str">
        <f t="shared" ca="1" si="20"/>
        <v>2014-08-22 08:22:04</v>
      </c>
    </row>
    <row r="110" spans="1:14" x14ac:dyDescent="0.25">
      <c r="A110" t="str">
        <f t="shared" si="40"/>
        <v>FDCDC400-A276-4576-B69D-C3DDFA7C2D3B</v>
      </c>
      <c r="B110" t="str">
        <f>Country!A85</f>
        <v>497B1C55-DD0E-4CE1-801B-130DC8197035</v>
      </c>
      <c r="C110" s="5" t="s">
        <v>169</v>
      </c>
      <c r="D110" t="str">
        <f>OrganisationV!B$12</f>
        <v>DC9B43BC-CE4B-465A-95DF-0C27469CCBA8</v>
      </c>
      <c r="E110" t="s">
        <v>2</v>
      </c>
      <c r="F110" t="s">
        <v>2</v>
      </c>
      <c r="G110" s="3" t="str">
        <f t="shared" si="39"/>
        <v>1850-01-01 00:00:00</v>
      </c>
      <c r="H110" s="3" t="str">
        <f t="shared" si="38"/>
        <v>2999-12-31  23:59:59</v>
      </c>
      <c r="I110" s="5" t="s">
        <v>25</v>
      </c>
      <c r="J110" s="5" t="s">
        <v>26</v>
      </c>
      <c r="K110" t="str">
        <f>Constants!$B$4</f>
        <v>administrator@footballoracle.co.uk</v>
      </c>
      <c r="L110" s="2" t="str">
        <f t="shared" ca="1" si="27"/>
        <v>2014-08-22 08:22:04</v>
      </c>
      <c r="M110" t="str">
        <f>K110</f>
        <v>administrator@footballoracle.co.uk</v>
      </c>
      <c r="N110" s="2" t="str">
        <f t="shared" ca="1" si="20"/>
        <v>2014-08-22 08:22:04</v>
      </c>
    </row>
    <row r="111" spans="1:14" x14ac:dyDescent="0.25">
      <c r="A111" t="str">
        <f t="shared" si="40"/>
        <v>D9C7AD3B-A2EA-48B3-A8A1-B6D5D4DE631F</v>
      </c>
      <c r="B111" t="str">
        <f>Country!A86</f>
        <v>A6843C90-E68F-400D-B85A-4363847B4596</v>
      </c>
      <c r="C111" s="5" t="s">
        <v>170</v>
      </c>
      <c r="D111" t="str">
        <f>OrganisationV!B$12</f>
        <v>DC9B43BC-CE4B-465A-95DF-0C27469CCBA8</v>
      </c>
      <c r="E111" t="s">
        <v>2</v>
      </c>
      <c r="F111" t="s">
        <v>2</v>
      </c>
      <c r="G111" s="3" t="str">
        <f t="shared" si="39"/>
        <v>1850-01-01 00:00:00</v>
      </c>
      <c r="H111" s="3" t="str">
        <f t="shared" si="38"/>
        <v>2999-12-31  23:59:59</v>
      </c>
      <c r="I111" s="5" t="s">
        <v>25</v>
      </c>
      <c r="J111" s="5" t="s">
        <v>26</v>
      </c>
      <c r="K111" t="str">
        <f>Constants!$B$4</f>
        <v>administrator@footballoracle.co.uk</v>
      </c>
      <c r="L111" s="2" t="str">
        <f t="shared" ca="1" si="27"/>
        <v>2014-08-22 08:22:04</v>
      </c>
      <c r="M111" t="str">
        <f t="shared" si="37"/>
        <v>administrator@footballoracle.co.uk</v>
      </c>
      <c r="N111" s="2" t="str">
        <f t="shared" ca="1" si="20"/>
        <v>2014-08-22 08:22:04</v>
      </c>
    </row>
    <row r="112" spans="1:14" x14ac:dyDescent="0.25">
      <c r="A112" t="str">
        <f t="shared" si="40"/>
        <v>6D818705-08AA-4936-8253-44F8D0B7FF5C</v>
      </c>
      <c r="B112" t="str">
        <f>Country!A87</f>
        <v>7631226E-AF22-416C-8F18-50776176FD52</v>
      </c>
      <c r="C112" s="5" t="s">
        <v>171</v>
      </c>
      <c r="D112" t="str">
        <f>OrganisationV!B$12</f>
        <v>DC9B43BC-CE4B-465A-95DF-0C27469CCBA8</v>
      </c>
      <c r="E112" t="s">
        <v>2</v>
      </c>
      <c r="F112" t="s">
        <v>2</v>
      </c>
      <c r="G112" s="3" t="str">
        <f t="shared" si="39"/>
        <v>1850-01-01 00:00:00</v>
      </c>
      <c r="H112" s="3" t="str">
        <f t="shared" si="38"/>
        <v>2999-12-31  23:59:59</v>
      </c>
      <c r="I112" s="5" t="s">
        <v>25</v>
      </c>
      <c r="J112" s="5" t="s">
        <v>26</v>
      </c>
      <c r="K112" t="str">
        <f>Constants!$B$4</f>
        <v>administrator@footballoracle.co.uk</v>
      </c>
      <c r="L112" s="2" t="str">
        <f t="shared" ca="1" si="27"/>
        <v>2014-08-22 08:22:04</v>
      </c>
      <c r="M112" t="str">
        <f t="shared" si="37"/>
        <v>administrator@footballoracle.co.uk</v>
      </c>
      <c r="N112" s="2" t="str">
        <f t="shared" ca="1" si="20"/>
        <v>2014-08-22 08:22:04</v>
      </c>
    </row>
    <row r="113" spans="1:14" x14ac:dyDescent="0.25">
      <c r="A113" t="str">
        <f t="shared" si="40"/>
        <v>96D6EB14-E4B4-4255-825A-75E0E6819344</v>
      </c>
      <c r="B113" t="str">
        <f>Country!A88</f>
        <v>3B4A54C4-BB4B-4F83-A60C-AFE4467BD319</v>
      </c>
      <c r="C113" s="5" t="s">
        <v>172</v>
      </c>
      <c r="D113" t="str">
        <f>OrganisationV!B$12</f>
        <v>DC9B43BC-CE4B-465A-95DF-0C27469CCBA8</v>
      </c>
      <c r="E113" t="s">
        <v>2</v>
      </c>
      <c r="F113" t="s">
        <v>2</v>
      </c>
      <c r="G113" s="3" t="str">
        <f t="shared" si="39"/>
        <v>1850-01-01 00:00:00</v>
      </c>
      <c r="H113" s="3" t="str">
        <f t="shared" si="38"/>
        <v>2999-12-31  23:59:59</v>
      </c>
      <c r="I113" s="5" t="s">
        <v>25</v>
      </c>
      <c r="J113" s="5" t="s">
        <v>26</v>
      </c>
      <c r="K113" t="str">
        <f>Constants!$B$4</f>
        <v>administrator@footballoracle.co.uk</v>
      </c>
      <c r="L113" s="2" t="str">
        <f t="shared" ca="1" si="27"/>
        <v>2014-08-22 08:22:04</v>
      </c>
      <c r="M113" t="str">
        <f t="shared" si="37"/>
        <v>administrator@footballoracle.co.uk</v>
      </c>
      <c r="N113" s="2" t="str">
        <f t="shared" ca="1" si="20"/>
        <v>2014-08-22 08:22:04</v>
      </c>
    </row>
    <row r="114" spans="1:14" x14ac:dyDescent="0.25">
      <c r="A114" t="str">
        <f t="shared" si="40"/>
        <v>D814B11F-CA99-41ED-8CB9-4157C3D34560</v>
      </c>
      <c r="B114" t="str">
        <f>Country!A89</f>
        <v>B9889B55-CB7C-438F-8B69-6413B7E9A794</v>
      </c>
      <c r="C114" s="5" t="s">
        <v>173</v>
      </c>
      <c r="D114" t="str">
        <f>OrganisationV!B$12</f>
        <v>DC9B43BC-CE4B-465A-95DF-0C27469CCBA8</v>
      </c>
      <c r="E114" t="s">
        <v>2</v>
      </c>
      <c r="F114" t="s">
        <v>2</v>
      </c>
      <c r="G114" s="3" t="str">
        <f t="shared" si="39"/>
        <v>1850-01-01 00:00:00</v>
      </c>
      <c r="H114" s="3">
        <v>23170.999988425927</v>
      </c>
      <c r="I114" s="5" t="s">
        <v>25</v>
      </c>
      <c r="J114" s="5" t="s">
        <v>26</v>
      </c>
      <c r="K114" t="str">
        <f>Constants!$B$4</f>
        <v>administrator@footballoracle.co.uk</v>
      </c>
      <c r="L114" s="2" t="str">
        <f t="shared" ca="1" si="27"/>
        <v>2014-08-22 08:22:04</v>
      </c>
      <c r="M114" t="str">
        <f t="shared" si="37"/>
        <v>administrator@footballoracle.co.uk</v>
      </c>
      <c r="N114" s="2" t="str">
        <f t="shared" ca="1" si="20"/>
        <v>2014-08-22 08:22:04</v>
      </c>
    </row>
    <row r="115" spans="1:14" x14ac:dyDescent="0.25">
      <c r="A115" t="str">
        <f t="shared" si="40"/>
        <v>3F9E8DC5-F002-4231-8280-8D9718418C65</v>
      </c>
      <c r="B115" t="str">
        <f>B114</f>
        <v>B9889B55-CB7C-438F-8B69-6413B7E9A794</v>
      </c>
      <c r="C115" s="5" t="s">
        <v>174</v>
      </c>
      <c r="D115" t="str">
        <f>OrganisationV!B$12</f>
        <v>DC9B43BC-CE4B-465A-95DF-0C27469CCBA8</v>
      </c>
      <c r="E115" t="s">
        <v>2</v>
      </c>
      <c r="F115" t="s">
        <v>2</v>
      </c>
      <c r="G115" s="3">
        <v>23171</v>
      </c>
      <c r="H115" s="3" t="str">
        <f t="shared" ref="H115:H122" si="41">VLOOKUP("highdate",DateConstants,2)</f>
        <v>2999-12-31  23:59:59</v>
      </c>
      <c r="I115" s="5" t="s">
        <v>25</v>
      </c>
      <c r="J115" s="5" t="s">
        <v>26</v>
      </c>
      <c r="K115" t="str">
        <f>Constants!$B$4</f>
        <v>administrator@footballoracle.co.uk</v>
      </c>
      <c r="L115" s="2" t="str">
        <f t="shared" ca="1" si="27"/>
        <v>2014-08-22 08:22:04</v>
      </c>
      <c r="M115" t="str">
        <f t="shared" si="37"/>
        <v>administrator@footballoracle.co.uk</v>
      </c>
      <c r="N115" s="2" t="str">
        <f t="shared" ca="1" si="20"/>
        <v>2014-08-22 08:22:04</v>
      </c>
    </row>
    <row r="116" spans="1:14" x14ac:dyDescent="0.25">
      <c r="A116" t="str">
        <f t="shared" si="40"/>
        <v>4DAAF533-460F-4EBB-98E0-805B5624EFF3</v>
      </c>
      <c r="B116" t="str">
        <f>Country!A90</f>
        <v>53E5ED11-6057-4C3B-A9C2-23B629D2E319</v>
      </c>
      <c r="C116" s="5" t="s">
        <v>175</v>
      </c>
      <c r="D116" t="str">
        <f>OrganisationV!B$12</f>
        <v>DC9B43BC-CE4B-465A-95DF-0C27469CCBA8</v>
      </c>
      <c r="E116" t="s">
        <v>2</v>
      </c>
      <c r="F116" t="s">
        <v>2</v>
      </c>
      <c r="G116" s="3" t="str">
        <f t="shared" ref="G116:G123" si="42">VLOOKUP("lowdate",DateConstants,2)</f>
        <v>1850-01-01 00:00:00</v>
      </c>
      <c r="H116" s="3" t="str">
        <f t="shared" si="41"/>
        <v>2999-12-31  23:59:59</v>
      </c>
      <c r="I116" s="5" t="s">
        <v>25</v>
      </c>
      <c r="J116" s="5" t="s">
        <v>26</v>
      </c>
      <c r="K116" t="str">
        <f>Constants!$B$4</f>
        <v>administrator@footballoracle.co.uk</v>
      </c>
      <c r="L116" s="2" t="str">
        <f t="shared" ca="1" si="27"/>
        <v>2014-08-22 08:22:04</v>
      </c>
      <c r="M116" t="str">
        <f t="shared" si="37"/>
        <v>administrator@footballoracle.co.uk</v>
      </c>
      <c r="N116" s="2" t="str">
        <f t="shared" ca="1" si="20"/>
        <v>2014-08-22 08:22:04</v>
      </c>
    </row>
    <row r="117" spans="1:14" x14ac:dyDescent="0.25">
      <c r="A117" t="str">
        <f t="shared" si="40"/>
        <v>FCA02164-6F80-442E-B6D3-00CCE652EC54</v>
      </c>
      <c r="B117" t="str">
        <f>Country!A91</f>
        <v>8E21EC1C-8CCA-459C-997E-588949562E01</v>
      </c>
      <c r="C117" s="5" t="s">
        <v>176</v>
      </c>
      <c r="D117" t="str">
        <f>OrganisationV!B$12</f>
        <v>DC9B43BC-CE4B-465A-95DF-0C27469CCBA8</v>
      </c>
      <c r="E117" t="s">
        <v>2</v>
      </c>
      <c r="F117" t="s">
        <v>2</v>
      </c>
      <c r="G117" s="3" t="str">
        <f t="shared" si="42"/>
        <v>1850-01-01 00:00:00</v>
      </c>
      <c r="H117" s="3" t="str">
        <f t="shared" si="41"/>
        <v>2999-12-31  23:59:59</v>
      </c>
      <c r="I117" s="5" t="s">
        <v>25</v>
      </c>
      <c r="J117" s="5" t="s">
        <v>26</v>
      </c>
      <c r="K117" t="str">
        <f>Constants!$B$4</f>
        <v>administrator@footballoracle.co.uk</v>
      </c>
      <c r="L117" s="2" t="str">
        <f t="shared" ca="1" si="27"/>
        <v>2014-08-22 08:22:04</v>
      </c>
      <c r="M117" t="str">
        <f t="shared" si="37"/>
        <v>administrator@footballoracle.co.uk</v>
      </c>
      <c r="N117" s="2" t="str">
        <f t="shared" ca="1" si="20"/>
        <v>2014-08-22 08:22:04</v>
      </c>
    </row>
    <row r="118" spans="1:14" x14ac:dyDescent="0.25">
      <c r="A118" t="str">
        <f t="shared" si="40"/>
        <v>FF9BFBA8-F12D-40AD-AD55-EC99DBD505DE</v>
      </c>
      <c r="B118" t="str">
        <f>Country!A92</f>
        <v>F15CEDAD-B873-4A2B-9AED-12A5AEFA31A8</v>
      </c>
      <c r="C118" s="5" t="s">
        <v>178</v>
      </c>
      <c r="D118" t="str">
        <f>OrganisationV!B$13</f>
        <v>3DA1266D-E659-4B2E-8961-02BB7D10DB3C</v>
      </c>
      <c r="E118" t="s">
        <v>2</v>
      </c>
      <c r="F118" t="s">
        <v>2</v>
      </c>
      <c r="G118" s="3" t="str">
        <f t="shared" si="42"/>
        <v>1850-01-01 00:00:00</v>
      </c>
      <c r="H118" s="3" t="str">
        <f t="shared" si="41"/>
        <v>2999-12-31  23:59:59</v>
      </c>
      <c r="I118" s="5" t="s">
        <v>25</v>
      </c>
      <c r="J118" s="5" t="s">
        <v>26</v>
      </c>
      <c r="K118" t="str">
        <f>Constants!$B$4</f>
        <v>administrator@footballoracle.co.uk</v>
      </c>
      <c r="L118" s="2" t="str">
        <f t="shared" ca="1" si="27"/>
        <v>2014-08-22 08:22:04</v>
      </c>
      <c r="M118" t="str">
        <f t="shared" ref="M118" si="43">K118</f>
        <v>administrator@footballoracle.co.uk</v>
      </c>
      <c r="N118" s="2" t="str">
        <f t="shared" ca="1" si="20"/>
        <v>2014-08-22 08:22:04</v>
      </c>
    </row>
    <row r="119" spans="1:14" x14ac:dyDescent="0.25">
      <c r="A119" t="str">
        <f t="shared" si="40"/>
        <v>08A560AB-C7CB-4111-B006-4F6155B9B9FF</v>
      </c>
      <c r="B119" t="str">
        <f>Country!A93</f>
        <v>B562B0CB-674D-41F1-A0FD-733A0793E36A</v>
      </c>
      <c r="C119" s="5" t="s">
        <v>179</v>
      </c>
      <c r="D119" t="str">
        <f>OrganisationV!B$13</f>
        <v>3DA1266D-E659-4B2E-8961-02BB7D10DB3C</v>
      </c>
      <c r="E119" t="s">
        <v>2</v>
      </c>
      <c r="F119" t="s">
        <v>2</v>
      </c>
      <c r="G119" s="3" t="str">
        <f t="shared" si="42"/>
        <v>1850-01-01 00:00:00</v>
      </c>
      <c r="H119" s="3" t="str">
        <f t="shared" si="41"/>
        <v>2999-12-31  23:59:59</v>
      </c>
      <c r="I119" s="5" t="s">
        <v>25</v>
      </c>
      <c r="J119" s="5" t="s">
        <v>26</v>
      </c>
      <c r="K119" t="str">
        <f>Constants!$B$4</f>
        <v>administrator@footballoracle.co.uk</v>
      </c>
      <c r="L119" s="2" t="str">
        <f t="shared" ca="1" si="27"/>
        <v>2014-08-22 08:22:04</v>
      </c>
      <c r="M119" t="str">
        <f t="shared" ref="M119:M137" si="44">K119</f>
        <v>administrator@footballoracle.co.uk</v>
      </c>
      <c r="N119" s="2" t="str">
        <f t="shared" ca="1" si="20"/>
        <v>2014-08-22 08:22:04</v>
      </c>
    </row>
    <row r="120" spans="1:14" x14ac:dyDescent="0.25">
      <c r="A120" t="str">
        <f t="shared" si="40"/>
        <v>A2C54090-6D68-41CA-9A14-675D81F42B8C</v>
      </c>
      <c r="B120" t="str">
        <f>Country!A94</f>
        <v>9E788827-2552-4294-9ABF-42C0D4431932</v>
      </c>
      <c r="C120" s="5" t="s">
        <v>180</v>
      </c>
      <c r="D120" t="str">
        <f>OrganisationV!B$13</f>
        <v>3DA1266D-E659-4B2E-8961-02BB7D10DB3C</v>
      </c>
      <c r="E120" t="s">
        <v>2</v>
      </c>
      <c r="F120" t="s">
        <v>2</v>
      </c>
      <c r="G120" s="3" t="str">
        <f t="shared" si="42"/>
        <v>1850-01-01 00:00:00</v>
      </c>
      <c r="H120" s="3" t="str">
        <f t="shared" si="41"/>
        <v>2999-12-31  23:59:59</v>
      </c>
      <c r="I120" s="5" t="s">
        <v>25</v>
      </c>
      <c r="J120" s="5" t="s">
        <v>26</v>
      </c>
      <c r="K120" t="str">
        <f>Constants!$B$4</f>
        <v>administrator@footballoracle.co.uk</v>
      </c>
      <c r="L120" s="2" t="str">
        <f t="shared" ca="1" si="27"/>
        <v>2014-08-22 08:22:04</v>
      </c>
      <c r="M120" t="str">
        <f t="shared" si="44"/>
        <v>administrator@footballoracle.co.uk</v>
      </c>
      <c r="N120" s="2" t="str">
        <f t="shared" ca="1" si="20"/>
        <v>2014-08-22 08:22:04</v>
      </c>
    </row>
    <row r="121" spans="1:14" x14ac:dyDescent="0.25">
      <c r="A121" t="str">
        <f t="shared" si="40"/>
        <v>F9F6D0DA-622F-4BA2-9FB8-770C0AE97EA8</v>
      </c>
      <c r="B121" t="str">
        <f>Country!A95</f>
        <v>2AAF79FE-58EF-4158-AFA9-5C0AAB2CA75C</v>
      </c>
      <c r="C121" s="5" t="s">
        <v>181</v>
      </c>
      <c r="D121" t="str">
        <f>OrganisationV!B$13</f>
        <v>3DA1266D-E659-4B2E-8961-02BB7D10DB3C</v>
      </c>
      <c r="E121" t="s">
        <v>2</v>
      </c>
      <c r="F121" t="s">
        <v>2</v>
      </c>
      <c r="G121" s="3" t="str">
        <f t="shared" si="42"/>
        <v>1850-01-01 00:00:00</v>
      </c>
      <c r="H121" s="3" t="str">
        <f t="shared" si="41"/>
        <v>2999-12-31  23:59:59</v>
      </c>
      <c r="I121" s="5" t="s">
        <v>25</v>
      </c>
      <c r="J121" s="5" t="s">
        <v>26</v>
      </c>
      <c r="K121" t="str">
        <f>Constants!$B$4</f>
        <v>administrator@footballoracle.co.uk</v>
      </c>
      <c r="L121" s="2" t="str">
        <f t="shared" ca="1" si="27"/>
        <v>2014-08-22 08:22:04</v>
      </c>
      <c r="M121" t="str">
        <f t="shared" si="44"/>
        <v>administrator@footballoracle.co.uk</v>
      </c>
      <c r="N121" s="2" t="str">
        <f t="shared" ca="1" si="20"/>
        <v>2014-08-22 08:22:04</v>
      </c>
    </row>
    <row r="122" spans="1:14" x14ac:dyDescent="0.25">
      <c r="A122" t="str">
        <f t="shared" si="40"/>
        <v>AB319D6C-9DAC-4B8D-920D-5A47FC388E81</v>
      </c>
      <c r="B122" t="str">
        <f>Country!A96</f>
        <v>42BF2618-1A6D-48C4-98B7-7AC0B5BD2AF4</v>
      </c>
      <c r="C122" s="5" t="s">
        <v>182</v>
      </c>
      <c r="D122" t="str">
        <f>OrganisationV!B$13</f>
        <v>3DA1266D-E659-4B2E-8961-02BB7D10DB3C</v>
      </c>
      <c r="E122" t="s">
        <v>2</v>
      </c>
      <c r="F122" t="s">
        <v>2</v>
      </c>
      <c r="G122" s="3" t="str">
        <f t="shared" si="42"/>
        <v>1850-01-01 00:00:00</v>
      </c>
      <c r="H122" s="3" t="str">
        <f t="shared" si="41"/>
        <v>2999-12-31  23:59:59</v>
      </c>
      <c r="I122" s="5" t="s">
        <v>25</v>
      </c>
      <c r="J122" s="5" t="s">
        <v>26</v>
      </c>
      <c r="K122" t="str">
        <f>Constants!$B$4</f>
        <v>administrator@footballoracle.co.uk</v>
      </c>
      <c r="L122" s="2" t="str">
        <f t="shared" ca="1" si="27"/>
        <v>2014-08-22 08:22:04</v>
      </c>
      <c r="M122" t="str">
        <f t="shared" si="44"/>
        <v>administrator@footballoracle.co.uk</v>
      </c>
      <c r="N122" s="2" t="str">
        <f t="shared" ca="1" si="20"/>
        <v>2014-08-22 08:22:04</v>
      </c>
    </row>
    <row r="123" spans="1:14" x14ac:dyDescent="0.25">
      <c r="A123" t="str">
        <f t="shared" si="40"/>
        <v>981BCE62-BB6F-4CCE-8DD9-546EED5A4F88</v>
      </c>
      <c r="B123" t="str">
        <f>Country!A97</f>
        <v>2F2ED841-94A3-4138-8628-AA597C709BF8</v>
      </c>
      <c r="C123" s="5" t="s">
        <v>183</v>
      </c>
      <c r="D123" t="str">
        <f>OrganisationV!B$13</f>
        <v>3DA1266D-E659-4B2E-8961-02BB7D10DB3C</v>
      </c>
      <c r="E123" t="s">
        <v>2</v>
      </c>
      <c r="F123" t="s">
        <v>2</v>
      </c>
      <c r="G123" s="3" t="str">
        <f t="shared" si="42"/>
        <v>1850-01-01 00:00:00</v>
      </c>
      <c r="H123" s="3">
        <v>21344.999988425927</v>
      </c>
      <c r="I123" s="5" t="s">
        <v>25</v>
      </c>
      <c r="J123" s="5" t="s">
        <v>26</v>
      </c>
      <c r="K123" t="str">
        <f>Constants!$B$4</f>
        <v>administrator@footballoracle.co.uk</v>
      </c>
      <c r="L123" s="2" t="str">
        <f t="shared" ca="1" si="27"/>
        <v>2014-08-22 08:22:04</v>
      </c>
      <c r="M123" t="str">
        <f t="shared" si="44"/>
        <v>administrator@footballoracle.co.uk</v>
      </c>
      <c r="N123" s="2" t="str">
        <f t="shared" ca="1" si="20"/>
        <v>2014-08-22 08:22:04</v>
      </c>
    </row>
    <row r="124" spans="1:14" x14ac:dyDescent="0.25">
      <c r="A124" t="str">
        <f t="shared" ref="A124:A139" si="45">GetGuid()</f>
        <v>4C90D0DC-E7E9-4CFA-9EA0-72EE6211C77D</v>
      </c>
      <c r="B124" t="str">
        <f>B123</f>
        <v>2F2ED841-94A3-4138-8628-AA597C709BF8</v>
      </c>
      <c r="C124" s="5" t="s">
        <v>184</v>
      </c>
      <c r="D124" t="str">
        <f>OrganisationV!B$13</f>
        <v>3DA1266D-E659-4B2E-8961-02BB7D10DB3C</v>
      </c>
      <c r="E124" t="s">
        <v>2</v>
      </c>
      <c r="F124" t="s">
        <v>2</v>
      </c>
      <c r="G124" s="3">
        <v>21345</v>
      </c>
      <c r="H124" s="3">
        <v>27553.999988425927</v>
      </c>
      <c r="I124" s="5" t="s">
        <v>25</v>
      </c>
      <c r="J124" s="5" t="s">
        <v>26</v>
      </c>
      <c r="K124" t="str">
        <f>Constants!$B$4</f>
        <v>administrator@footballoracle.co.uk</v>
      </c>
      <c r="L124" s="2" t="str">
        <f t="shared" ca="1" si="27"/>
        <v>2014-08-22 08:22:04</v>
      </c>
      <c r="M124" t="str">
        <f t="shared" si="44"/>
        <v>administrator@footballoracle.co.uk</v>
      </c>
      <c r="N124" s="2" t="str">
        <f t="shared" ca="1" si="20"/>
        <v>2014-08-22 08:22:04</v>
      </c>
    </row>
    <row r="125" spans="1:14" x14ac:dyDescent="0.25">
      <c r="A125" t="str">
        <f t="shared" si="45"/>
        <v>A12EF73B-2C52-4731-9A59-10602812591E</v>
      </c>
      <c r="B125" t="str">
        <f>B123</f>
        <v>2F2ED841-94A3-4138-8628-AA597C709BF8</v>
      </c>
      <c r="C125" s="5" t="s">
        <v>183</v>
      </c>
      <c r="D125" t="str">
        <f>OrganisationV!B$13</f>
        <v>3DA1266D-E659-4B2E-8961-02BB7D10DB3C</v>
      </c>
      <c r="E125" t="s">
        <v>2</v>
      </c>
      <c r="F125" t="s">
        <v>2</v>
      </c>
      <c r="G125" s="3">
        <v>27554</v>
      </c>
      <c r="H125" s="3" t="str">
        <f>VLOOKUP("highdate",DateConstants,2)</f>
        <v>2999-12-31  23:59:59</v>
      </c>
      <c r="I125" s="5" t="s">
        <v>25</v>
      </c>
      <c r="J125" s="5" t="s">
        <v>26</v>
      </c>
      <c r="K125" t="str">
        <f>Constants!$B$4</f>
        <v>administrator@footballoracle.co.uk</v>
      </c>
      <c r="L125" s="2" t="str">
        <f t="shared" ca="1" si="27"/>
        <v>2014-08-22 08:22:04</v>
      </c>
      <c r="M125" t="str">
        <f t="shared" si="44"/>
        <v>administrator@footballoracle.co.uk</v>
      </c>
      <c r="N125" s="2" t="str">
        <f t="shared" ca="1" si="20"/>
        <v>2014-08-22 08:22:04</v>
      </c>
    </row>
    <row r="126" spans="1:14" x14ac:dyDescent="0.25">
      <c r="A126" t="str">
        <f t="shared" si="45"/>
        <v>819017F7-C8E6-4B6C-BA8A-19E34B786367</v>
      </c>
      <c r="B126" t="str">
        <f>Country!A98</f>
        <v>3EA4A71A-3E8B-4EC4-969A-F23FD270BCC3</v>
      </c>
      <c r="C126" s="5" t="s">
        <v>185</v>
      </c>
      <c r="D126" t="str">
        <f>OrganisationV!B$13</f>
        <v>3DA1266D-E659-4B2E-8961-02BB7D10DB3C</v>
      </c>
      <c r="E126" t="s">
        <v>2</v>
      </c>
      <c r="F126" t="s">
        <v>2</v>
      </c>
      <c r="G126" s="3" t="str">
        <f>VLOOKUP("lowdate",DateConstants,2)</f>
        <v>1850-01-01 00:00:00</v>
      </c>
      <c r="H126" s="3">
        <v>24266.999988425927</v>
      </c>
      <c r="I126" s="5" t="s">
        <v>25</v>
      </c>
      <c r="J126" s="5" t="s">
        <v>26</v>
      </c>
      <c r="K126" t="str">
        <f>Constants!$B$4</f>
        <v>administrator@footballoracle.co.uk</v>
      </c>
      <c r="L126" s="2" t="str">
        <f t="shared" ca="1" si="27"/>
        <v>2014-08-22 08:22:04</v>
      </c>
      <c r="M126" t="str">
        <f t="shared" si="44"/>
        <v>administrator@footballoracle.co.uk</v>
      </c>
      <c r="N126" s="2" t="str">
        <f t="shared" ca="1" si="20"/>
        <v>2014-08-22 08:22:04</v>
      </c>
    </row>
    <row r="127" spans="1:14" x14ac:dyDescent="0.25">
      <c r="A127" t="str">
        <f t="shared" si="45"/>
        <v>1D8E66A4-05EC-43E8-9F96-7BB6C36426BD</v>
      </c>
      <c r="B127" t="str">
        <f>B126</f>
        <v>3EA4A71A-3E8B-4EC4-969A-F23FD270BCC3</v>
      </c>
      <c r="C127" s="5" t="s">
        <v>186</v>
      </c>
      <c r="D127" t="str">
        <f>OrganisationV!B$13</f>
        <v>3DA1266D-E659-4B2E-8961-02BB7D10DB3C</v>
      </c>
      <c r="E127" t="s">
        <v>2</v>
      </c>
      <c r="F127" t="s">
        <v>2</v>
      </c>
      <c r="G127" s="3">
        <v>24267</v>
      </c>
      <c r="H127" s="3" t="str">
        <f t="shared" ref="H127:H132" si="46">VLOOKUP("highdate",DateConstants,2)</f>
        <v>2999-12-31  23:59:59</v>
      </c>
      <c r="I127" s="5" t="s">
        <v>25</v>
      </c>
      <c r="J127" s="5" t="s">
        <v>26</v>
      </c>
      <c r="K127" t="str">
        <f>Constants!$B$4</f>
        <v>administrator@footballoracle.co.uk</v>
      </c>
      <c r="L127" s="2" t="str">
        <f t="shared" ca="1" si="27"/>
        <v>2014-08-22 08:22:04</v>
      </c>
      <c r="M127" t="str">
        <f t="shared" si="44"/>
        <v>administrator@footballoracle.co.uk</v>
      </c>
      <c r="N127" s="2" t="str">
        <f t="shared" ca="1" si="20"/>
        <v>2014-08-22 08:22:04</v>
      </c>
    </row>
    <row r="128" spans="1:14" x14ac:dyDescent="0.25">
      <c r="A128" t="str">
        <f t="shared" si="45"/>
        <v>DB72D839-6BF5-432C-9C9C-C4CFE41CAC63</v>
      </c>
      <c r="B128" t="str">
        <f>Country!A99</f>
        <v>79741D80-A4EC-4262-B296-E31510756B48</v>
      </c>
      <c r="C128" s="5" t="s">
        <v>187</v>
      </c>
      <c r="D128" t="str">
        <f>OrganisationV!B$13</f>
        <v>3DA1266D-E659-4B2E-8961-02BB7D10DB3C</v>
      </c>
      <c r="E128" t="s">
        <v>2</v>
      </c>
      <c r="F128" t="s">
        <v>2</v>
      </c>
      <c r="G128" s="3" t="str">
        <f t="shared" ref="G128:G133" si="47">VLOOKUP("lowdate",DateConstants,2)</f>
        <v>1850-01-01 00:00:00</v>
      </c>
      <c r="H128" s="3" t="str">
        <f t="shared" si="46"/>
        <v>2999-12-31  23:59:59</v>
      </c>
      <c r="I128" s="5" t="s">
        <v>25</v>
      </c>
      <c r="J128" s="5" t="s">
        <v>26</v>
      </c>
      <c r="K128" t="str">
        <f>Constants!$B$4</f>
        <v>administrator@footballoracle.co.uk</v>
      </c>
      <c r="L128" s="2" t="str">
        <f t="shared" ca="1" si="27"/>
        <v>2014-08-22 08:22:04</v>
      </c>
      <c r="M128" t="str">
        <f t="shared" si="44"/>
        <v>administrator@footballoracle.co.uk</v>
      </c>
      <c r="N128" s="2" t="str">
        <f t="shared" ca="1" si="20"/>
        <v>2014-08-22 08:22:04</v>
      </c>
    </row>
    <row r="129" spans="1:14" x14ac:dyDescent="0.25">
      <c r="A129" t="str">
        <f t="shared" si="45"/>
        <v>78E3C195-7F9D-43FC-9890-887632C72F95</v>
      </c>
      <c r="B129" t="str">
        <f>Country!A100</f>
        <v>C7F59684-41CD-4ED2-A875-DC0565F09603</v>
      </c>
      <c r="C129" s="5" t="s">
        <v>188</v>
      </c>
      <c r="D129" t="str">
        <f>OrganisationV!B$13</f>
        <v>3DA1266D-E659-4B2E-8961-02BB7D10DB3C</v>
      </c>
      <c r="E129" t="s">
        <v>2</v>
      </c>
      <c r="F129" t="s">
        <v>2</v>
      </c>
      <c r="G129" s="3" t="str">
        <f t="shared" si="47"/>
        <v>1850-01-01 00:00:00</v>
      </c>
      <c r="H129" s="3" t="str">
        <f t="shared" si="46"/>
        <v>2999-12-31  23:59:59</v>
      </c>
      <c r="I129" s="5" t="s">
        <v>25</v>
      </c>
      <c r="J129" s="5" t="s">
        <v>26</v>
      </c>
      <c r="K129" t="str">
        <f>Constants!$B$4</f>
        <v>administrator@footballoracle.co.uk</v>
      </c>
      <c r="L129" s="2" t="str">
        <f t="shared" ca="1" si="27"/>
        <v>2014-08-22 08:22:04</v>
      </c>
      <c r="M129" t="str">
        <f t="shared" si="44"/>
        <v>administrator@footballoracle.co.uk</v>
      </c>
      <c r="N129" s="2" t="str">
        <f t="shared" ca="1" si="20"/>
        <v>2014-08-22 08:22:04</v>
      </c>
    </row>
    <row r="130" spans="1:14" x14ac:dyDescent="0.25">
      <c r="A130" t="str">
        <f t="shared" si="45"/>
        <v>95F9E517-FCB9-4AC0-ADA7-FC00DBA564A7</v>
      </c>
      <c r="B130" t="str">
        <f>Country!A101</f>
        <v>21626B23-6B2D-41A4-B214-D3F451ACACEB</v>
      </c>
      <c r="C130" s="5" t="s">
        <v>189</v>
      </c>
      <c r="D130" t="str">
        <f>OrganisationV!B$13</f>
        <v>3DA1266D-E659-4B2E-8961-02BB7D10DB3C</v>
      </c>
      <c r="E130" t="s">
        <v>2</v>
      </c>
      <c r="F130" t="s">
        <v>2</v>
      </c>
      <c r="G130" s="3" t="str">
        <f t="shared" si="47"/>
        <v>1850-01-01 00:00:00</v>
      </c>
      <c r="H130" s="3" t="str">
        <f t="shared" si="46"/>
        <v>2999-12-31  23:59:59</v>
      </c>
      <c r="I130" s="5" t="s">
        <v>25</v>
      </c>
      <c r="J130" s="5" t="s">
        <v>26</v>
      </c>
      <c r="K130" t="str">
        <f>Constants!$B$4</f>
        <v>administrator@footballoracle.co.uk</v>
      </c>
      <c r="L130" s="2" t="str">
        <f t="shared" ca="1" si="27"/>
        <v>2014-08-22 08:22:04</v>
      </c>
      <c r="M130" t="str">
        <f t="shared" si="44"/>
        <v>administrator@footballoracle.co.uk</v>
      </c>
      <c r="N130" s="2" t="str">
        <f t="shared" ref="N130:N193" ca="1" si="48">TEXT(NOW(), "yyyy-MM-dd hh:mm:ss")</f>
        <v>2014-08-22 08:22:04</v>
      </c>
    </row>
    <row r="131" spans="1:14" x14ac:dyDescent="0.25">
      <c r="A131" t="str">
        <f t="shared" si="45"/>
        <v>AB92200D-A7FD-4A6C-B6FB-94BD57E45D74</v>
      </c>
      <c r="B131" t="str">
        <f>Country!A102</f>
        <v>0406BE28-D193-4F22-AA6E-9D2085C99444</v>
      </c>
      <c r="C131" s="5" t="s">
        <v>190</v>
      </c>
      <c r="D131" t="str">
        <f>OrganisationV!B$13</f>
        <v>3DA1266D-E659-4B2E-8961-02BB7D10DB3C</v>
      </c>
      <c r="E131" t="s">
        <v>2</v>
      </c>
      <c r="F131" t="s">
        <v>2</v>
      </c>
      <c r="G131" s="3" t="str">
        <f t="shared" si="47"/>
        <v>1850-01-01 00:00:00</v>
      </c>
      <c r="H131" s="3" t="str">
        <f t="shared" si="46"/>
        <v>2999-12-31  23:59:59</v>
      </c>
      <c r="I131" s="5" t="s">
        <v>25</v>
      </c>
      <c r="J131" s="5" t="s">
        <v>26</v>
      </c>
      <c r="K131" t="str">
        <f>Constants!$B$4</f>
        <v>administrator@footballoracle.co.uk</v>
      </c>
      <c r="L131" s="2" t="str">
        <f t="shared" ca="1" si="27"/>
        <v>2014-08-22 08:22:04</v>
      </c>
      <c r="M131" t="str">
        <f t="shared" si="44"/>
        <v>administrator@footballoracle.co.uk</v>
      </c>
      <c r="N131" s="2" t="str">
        <f t="shared" ca="1" si="48"/>
        <v>2014-08-22 08:22:04</v>
      </c>
    </row>
    <row r="132" spans="1:14" x14ac:dyDescent="0.25">
      <c r="A132" t="str">
        <f t="shared" si="45"/>
        <v>583A24B2-3BF8-4EAB-BE2A-AD179E78E52E</v>
      </c>
      <c r="B132" t="str">
        <f>Country!A103</f>
        <v>548DF50A-E390-408A-AE8C-B3AA95F23874</v>
      </c>
      <c r="C132" s="5" t="s">
        <v>191</v>
      </c>
      <c r="D132" t="str">
        <f>OrganisationV!B$13</f>
        <v>3DA1266D-E659-4B2E-8961-02BB7D10DB3C</v>
      </c>
      <c r="E132" t="s">
        <v>2</v>
      </c>
      <c r="F132" t="s">
        <v>2</v>
      </c>
      <c r="G132" s="3" t="str">
        <f t="shared" si="47"/>
        <v>1850-01-01 00:00:00</v>
      </c>
      <c r="H132" s="3" t="str">
        <f t="shared" si="46"/>
        <v>2999-12-31  23:59:59</v>
      </c>
      <c r="I132" s="5" t="s">
        <v>25</v>
      </c>
      <c r="J132" s="5" t="s">
        <v>26</v>
      </c>
      <c r="K132" t="str">
        <f>Constants!$B$4</f>
        <v>administrator@footballoracle.co.uk</v>
      </c>
      <c r="L132" s="2" t="str">
        <f t="shared" ca="1" si="27"/>
        <v>2014-08-22 08:22:04</v>
      </c>
      <c r="M132" t="str">
        <f t="shared" si="44"/>
        <v>administrator@footballoracle.co.uk</v>
      </c>
      <c r="N132" s="2" t="str">
        <f t="shared" ca="1" si="48"/>
        <v>2014-08-22 08:22:04</v>
      </c>
    </row>
    <row r="133" spans="1:14" x14ac:dyDescent="0.25">
      <c r="A133" t="str">
        <f t="shared" si="45"/>
        <v>15E7981F-D6A7-4948-8EE4-75A563886188</v>
      </c>
      <c r="B133" t="str">
        <f>Country!A104</f>
        <v>5DC59B85-45AD-425C-8BBA-3F7013AA7A2B</v>
      </c>
      <c r="C133" s="5" t="s">
        <v>192</v>
      </c>
      <c r="D133" t="str">
        <f>OrganisationV!B$13</f>
        <v>3DA1266D-E659-4B2E-8961-02BB7D10DB3C</v>
      </c>
      <c r="E133" t="s">
        <v>2</v>
      </c>
      <c r="F133" t="s">
        <v>2</v>
      </c>
      <c r="G133" s="3" t="str">
        <f t="shared" si="47"/>
        <v>1850-01-01 00:00:00</v>
      </c>
      <c r="H133" s="3">
        <v>23536.999988425927</v>
      </c>
      <c r="I133" s="5" t="s">
        <v>25</v>
      </c>
      <c r="J133" s="5" t="s">
        <v>26</v>
      </c>
      <c r="K133" t="str">
        <f>Constants!$B$4</f>
        <v>administrator@footballoracle.co.uk</v>
      </c>
      <c r="L133" s="2" t="str">
        <f t="shared" ca="1" si="27"/>
        <v>2014-08-22 08:22:04</v>
      </c>
      <c r="M133" t="str">
        <f t="shared" si="44"/>
        <v>administrator@footballoracle.co.uk</v>
      </c>
      <c r="N133" s="2" t="str">
        <f t="shared" ca="1" si="48"/>
        <v>2014-08-22 08:22:04</v>
      </c>
    </row>
    <row r="134" spans="1:14" x14ac:dyDescent="0.25">
      <c r="A134" t="str">
        <f t="shared" si="45"/>
        <v>D6C3BDE3-3062-4656-8BAA-B30F93F11DA1</v>
      </c>
      <c r="B134" t="str">
        <f>B133</f>
        <v>5DC59B85-45AD-425C-8BBA-3F7013AA7A2B</v>
      </c>
      <c r="C134" s="5" t="s">
        <v>193</v>
      </c>
      <c r="D134" t="str">
        <f>OrganisationV!B$13</f>
        <v>3DA1266D-E659-4B2E-8961-02BB7D10DB3C</v>
      </c>
      <c r="E134" t="s">
        <v>2</v>
      </c>
      <c r="F134" t="s">
        <v>2</v>
      </c>
      <c r="G134" s="3">
        <v>23537</v>
      </c>
      <c r="H134" s="3" t="str">
        <f>VLOOKUP("highdate",DateConstants,2)</f>
        <v>2999-12-31  23:59:59</v>
      </c>
      <c r="I134" s="5" t="s">
        <v>25</v>
      </c>
      <c r="J134" s="5" t="s">
        <v>26</v>
      </c>
      <c r="K134" t="str">
        <f>Constants!$B$4</f>
        <v>administrator@footballoracle.co.uk</v>
      </c>
      <c r="L134" s="2" t="str">
        <f t="shared" ca="1" si="27"/>
        <v>2014-08-22 08:22:04</v>
      </c>
      <c r="M134" t="str">
        <f t="shared" si="44"/>
        <v>administrator@footballoracle.co.uk</v>
      </c>
      <c r="N134" s="2" t="str">
        <f t="shared" ca="1" si="48"/>
        <v>2014-08-22 08:22:04</v>
      </c>
    </row>
    <row r="135" spans="1:14" x14ac:dyDescent="0.25">
      <c r="A135" t="str">
        <f t="shared" si="45"/>
        <v>507AE394-4D3E-4A09-BB70-B0ADD704D352</v>
      </c>
      <c r="B135" t="str">
        <f>Country!A105</f>
        <v>0A683E2E-3029-4BCD-B7D8-F6C3D6CA2CF7</v>
      </c>
      <c r="C135" s="5" t="s">
        <v>194</v>
      </c>
      <c r="D135" t="str">
        <f>OrganisationV!B$13</f>
        <v>3DA1266D-E659-4B2E-8961-02BB7D10DB3C</v>
      </c>
      <c r="E135" t="s">
        <v>2</v>
      </c>
      <c r="F135" t="s">
        <v>2</v>
      </c>
      <c r="G135" s="3" t="str">
        <f>VLOOKUP("lowdate",DateConstants,2)</f>
        <v>1850-01-01 00:00:00</v>
      </c>
      <c r="H135" s="3">
        <v>23536.999988425927</v>
      </c>
      <c r="I135" s="5" t="s">
        <v>25</v>
      </c>
      <c r="J135" s="5" t="s">
        <v>26</v>
      </c>
      <c r="K135" t="str">
        <f>Constants!$B$4</f>
        <v>administrator@footballoracle.co.uk</v>
      </c>
      <c r="L135" s="2" t="str">
        <f t="shared" ca="1" si="27"/>
        <v>2014-08-22 08:22:04</v>
      </c>
      <c r="M135" t="str">
        <f t="shared" si="44"/>
        <v>administrator@footballoracle.co.uk</v>
      </c>
      <c r="N135" s="2" t="str">
        <f t="shared" ca="1" si="48"/>
        <v>2014-08-22 08:22:04</v>
      </c>
    </row>
    <row r="136" spans="1:14" x14ac:dyDescent="0.25">
      <c r="A136" t="str">
        <f t="shared" si="45"/>
        <v>B1DAD4F9-4597-4F7B-B8AB-F66D8F233ECF</v>
      </c>
      <c r="B136" t="str">
        <f>B135</f>
        <v>0A683E2E-3029-4BCD-B7D8-F6C3D6CA2CF7</v>
      </c>
      <c r="C136" s="5" t="s">
        <v>195</v>
      </c>
      <c r="D136" t="str">
        <f>OrganisationV!B$13</f>
        <v>3DA1266D-E659-4B2E-8961-02BB7D10DB3C</v>
      </c>
      <c r="E136" t="s">
        <v>2</v>
      </c>
      <c r="F136" t="s">
        <v>2</v>
      </c>
      <c r="G136" s="3">
        <v>23537</v>
      </c>
      <c r="H136" s="3">
        <v>29380.999988425927</v>
      </c>
      <c r="I136" s="5" t="s">
        <v>25</v>
      </c>
      <c r="J136" s="5" t="s">
        <v>26</v>
      </c>
      <c r="K136" t="str">
        <f>Constants!$B$4</f>
        <v>administrator@footballoracle.co.uk</v>
      </c>
      <c r="L136" s="2" t="str">
        <f t="shared" ca="1" si="27"/>
        <v>2014-08-22 08:22:04</v>
      </c>
      <c r="M136" t="str">
        <f t="shared" si="44"/>
        <v>administrator@footballoracle.co.uk</v>
      </c>
      <c r="N136" s="2" t="str">
        <f t="shared" ca="1" si="48"/>
        <v>2014-08-22 08:22:04</v>
      </c>
    </row>
    <row r="137" spans="1:14" x14ac:dyDescent="0.25">
      <c r="A137" t="str">
        <f t="shared" si="45"/>
        <v>C4F8566E-8FA3-4ACD-AF5D-960192F16A61</v>
      </c>
      <c r="B137" t="str">
        <f>B135</f>
        <v>0A683E2E-3029-4BCD-B7D8-F6C3D6CA2CF7</v>
      </c>
      <c r="C137" s="5" t="s">
        <v>196</v>
      </c>
      <c r="D137" t="str">
        <f>OrganisationV!B$13</f>
        <v>3DA1266D-E659-4B2E-8961-02BB7D10DB3C</v>
      </c>
      <c r="E137" t="s">
        <v>2</v>
      </c>
      <c r="F137" t="s">
        <v>2</v>
      </c>
      <c r="G137" s="3">
        <v>29381</v>
      </c>
      <c r="H137" s="3" t="str">
        <f t="shared" ref="H137:H157" si="49">VLOOKUP("highdate",DateConstants,2)</f>
        <v>2999-12-31  23:59:59</v>
      </c>
      <c r="I137" s="5" t="s">
        <v>25</v>
      </c>
      <c r="J137" s="5" t="s">
        <v>26</v>
      </c>
      <c r="K137" t="str">
        <f>Constants!$B$4</f>
        <v>administrator@footballoracle.co.uk</v>
      </c>
      <c r="L137" s="2" t="str">
        <f t="shared" ref="L137" ca="1" si="50">TEXT(NOW(), "yyyy-MM-dd hh:mm:ss")</f>
        <v>2014-08-22 08:22:04</v>
      </c>
      <c r="M137" t="str">
        <f t="shared" si="44"/>
        <v>administrator@footballoracle.co.uk</v>
      </c>
      <c r="N137" s="2" t="str">
        <f t="shared" ca="1" si="48"/>
        <v>2014-08-22 08:22:04</v>
      </c>
    </row>
    <row r="138" spans="1:14" x14ac:dyDescent="0.25">
      <c r="A138" t="str">
        <f t="shared" si="45"/>
        <v>57841A30-27A4-4F9A-B11D-BBBE8EB3F427</v>
      </c>
      <c r="B138" t="str">
        <f>Country!A106</f>
        <v>AFAF6E7A-51FC-4930-80F0-37FBA044E674</v>
      </c>
      <c r="C138" s="5" t="s">
        <v>199</v>
      </c>
      <c r="D138" t="str">
        <f>OrganisationV!B$15</f>
        <v>D483E3BA-6593-45C0-B0ED-BC8D06EB1614</v>
      </c>
      <c r="E138" t="s">
        <v>2</v>
      </c>
      <c r="F138" t="s">
        <v>2</v>
      </c>
      <c r="G138" s="3" t="str">
        <f t="shared" ref="G138:G158" si="51">VLOOKUP("lowdate",DateConstants,2)</f>
        <v>1850-01-01 00:00:00</v>
      </c>
      <c r="H138" s="3" t="str">
        <f t="shared" si="49"/>
        <v>2999-12-31  23:59:59</v>
      </c>
      <c r="I138" s="5" t="s">
        <v>25</v>
      </c>
      <c r="J138" s="5" t="s">
        <v>26</v>
      </c>
      <c r="K138" t="str">
        <f>Constants!$B$4</f>
        <v>administrator@footballoracle.co.uk</v>
      </c>
      <c r="L138" s="2" t="str">
        <f t="shared" ca="1" si="27"/>
        <v>2014-08-22 08:22:04</v>
      </c>
      <c r="M138" t="str">
        <f t="shared" ref="M138" si="52">K138</f>
        <v>administrator@footballoracle.co.uk</v>
      </c>
      <c r="N138" s="2" t="str">
        <f t="shared" ca="1" si="48"/>
        <v>2014-08-22 08:22:04</v>
      </c>
    </row>
    <row r="139" spans="1:14" x14ac:dyDescent="0.25">
      <c r="A139" t="str">
        <f t="shared" si="45"/>
        <v>2A7AEBF7-FF33-4309-88EE-459485ACF9A7</v>
      </c>
      <c r="B139" t="str">
        <f>Country!A107</f>
        <v>AE4DBD7F-6709-4296-91A5-0AAF612BB6DA</v>
      </c>
      <c r="C139" s="5" t="s">
        <v>200</v>
      </c>
      <c r="D139" t="str">
        <f>OrganisationV!B$15</f>
        <v>D483E3BA-6593-45C0-B0ED-BC8D06EB1614</v>
      </c>
      <c r="E139" t="s">
        <v>2</v>
      </c>
      <c r="F139" t="s">
        <v>2</v>
      </c>
      <c r="G139" s="3" t="str">
        <f t="shared" si="51"/>
        <v>1850-01-01 00:00:00</v>
      </c>
      <c r="H139" s="3" t="str">
        <f t="shared" si="49"/>
        <v>2999-12-31  23:59:59</v>
      </c>
      <c r="I139" s="5" t="s">
        <v>25</v>
      </c>
      <c r="J139" s="5" t="s">
        <v>26</v>
      </c>
      <c r="K139" t="str">
        <f>Constants!$B$4</f>
        <v>administrator@footballoracle.co.uk</v>
      </c>
      <c r="L139" s="2" t="str">
        <f t="shared" ca="1" si="27"/>
        <v>2014-08-22 08:22:04</v>
      </c>
      <c r="M139" t="str">
        <f t="shared" ref="M139:M140" si="53">K139</f>
        <v>administrator@footballoracle.co.uk</v>
      </c>
      <c r="N139" s="2" t="str">
        <f t="shared" ca="1" si="48"/>
        <v>2014-08-22 08:22:04</v>
      </c>
    </row>
    <row r="140" spans="1:14" x14ac:dyDescent="0.25">
      <c r="A140" t="str">
        <f t="shared" ref="A140:A155" si="54">GetGuid()</f>
        <v>390FDEC6-063D-47C9-876A-26AFE64D439C</v>
      </c>
      <c r="B140" t="str">
        <f>Country!A108</f>
        <v>E762A003-CE42-4A2D-A902-771B3E11351F</v>
      </c>
      <c r="C140" s="5" t="s">
        <v>201</v>
      </c>
      <c r="D140" t="str">
        <f>OrganisationV!B$15</f>
        <v>D483E3BA-6593-45C0-B0ED-BC8D06EB1614</v>
      </c>
      <c r="E140" t="s">
        <v>2</v>
      </c>
      <c r="F140" t="s">
        <v>2</v>
      </c>
      <c r="G140" s="3" t="str">
        <f t="shared" si="51"/>
        <v>1850-01-01 00:00:00</v>
      </c>
      <c r="H140" s="3" t="str">
        <f t="shared" si="49"/>
        <v>2999-12-31  23:59:59</v>
      </c>
      <c r="I140" s="5" t="s">
        <v>25</v>
      </c>
      <c r="J140" s="5" t="s">
        <v>26</v>
      </c>
      <c r="K140" t="str">
        <f>Constants!$B$4</f>
        <v>administrator@footballoracle.co.uk</v>
      </c>
      <c r="L140" s="2" t="str">
        <f t="shared" ref="L140:L203" ca="1" si="55">TEXT(NOW(), "yyyy-MM-dd hh:mm:ss")</f>
        <v>2014-08-22 08:22:04</v>
      </c>
      <c r="M140" t="str">
        <f t="shared" si="53"/>
        <v>administrator@footballoracle.co.uk</v>
      </c>
      <c r="N140" s="2" t="str">
        <f t="shared" ca="1" si="48"/>
        <v>2014-08-22 08:22:04</v>
      </c>
    </row>
    <row r="141" spans="1:14" x14ac:dyDescent="0.25">
      <c r="A141" t="str">
        <f t="shared" si="54"/>
        <v>C815B0F9-A901-4AF9-A0E0-9C497A41CB61</v>
      </c>
      <c r="B141" t="str">
        <f>Country!A109</f>
        <v>DED65635-D24C-46FA-888A-E720FC1BB2FF</v>
      </c>
      <c r="C141" s="5" t="s">
        <v>203</v>
      </c>
      <c r="D141" t="str">
        <f>OrganisationV!B$16</f>
        <v>C62F6131-6BD1-4230-8D77-DD7983F8911B</v>
      </c>
      <c r="E141" t="s">
        <v>2</v>
      </c>
      <c r="F141" t="s">
        <v>2</v>
      </c>
      <c r="G141" s="3" t="str">
        <f t="shared" si="51"/>
        <v>1850-01-01 00:00:00</v>
      </c>
      <c r="H141" s="3" t="str">
        <f t="shared" si="49"/>
        <v>2999-12-31  23:59:59</v>
      </c>
      <c r="I141" s="5" t="s">
        <v>25</v>
      </c>
      <c r="J141" s="5" t="s">
        <v>26</v>
      </c>
      <c r="K141" t="str">
        <f>Constants!$B$4</f>
        <v>administrator@footballoracle.co.uk</v>
      </c>
      <c r="L141" s="2" t="str">
        <f t="shared" ca="1" si="55"/>
        <v>2014-08-22 08:22:04</v>
      </c>
      <c r="M141" t="str">
        <f t="shared" ref="M141:M147" si="56">K141</f>
        <v>administrator@footballoracle.co.uk</v>
      </c>
      <c r="N141" s="2" t="str">
        <f t="shared" ca="1" si="48"/>
        <v>2014-08-22 08:22:04</v>
      </c>
    </row>
    <row r="142" spans="1:14" x14ac:dyDescent="0.25">
      <c r="A142" t="str">
        <f t="shared" si="54"/>
        <v>9A469887-F683-4735-BA13-E29790835498</v>
      </c>
      <c r="B142" t="str">
        <f>Country!A110</f>
        <v>54D25D40-4F7D-4F17-8373-8014D1690C76</v>
      </c>
      <c r="C142" s="5" t="s">
        <v>204</v>
      </c>
      <c r="D142" t="str">
        <f>OrganisationV!B$16</f>
        <v>C62F6131-6BD1-4230-8D77-DD7983F8911B</v>
      </c>
      <c r="E142" t="s">
        <v>2</v>
      </c>
      <c r="F142" t="s">
        <v>2</v>
      </c>
      <c r="G142" s="3" t="str">
        <f t="shared" si="51"/>
        <v>1850-01-01 00:00:00</v>
      </c>
      <c r="H142" s="3" t="str">
        <f t="shared" si="49"/>
        <v>2999-12-31  23:59:59</v>
      </c>
      <c r="I142" s="5" t="s">
        <v>25</v>
      </c>
      <c r="J142" s="5" t="s">
        <v>26</v>
      </c>
      <c r="K142" t="str">
        <f>Constants!$B$4</f>
        <v>administrator@footballoracle.co.uk</v>
      </c>
      <c r="L142" s="2" t="str">
        <f t="shared" ca="1" si="55"/>
        <v>2014-08-22 08:22:04</v>
      </c>
      <c r="M142" t="str">
        <f t="shared" si="56"/>
        <v>administrator@footballoracle.co.uk</v>
      </c>
      <c r="N142" s="2" t="str">
        <f t="shared" ca="1" si="48"/>
        <v>2014-08-22 08:22:04</v>
      </c>
    </row>
    <row r="143" spans="1:14" x14ac:dyDescent="0.25">
      <c r="A143" t="str">
        <f t="shared" si="54"/>
        <v>AFE82B2F-01C7-4BDF-A5B8-8975A8F4808C</v>
      </c>
      <c r="B143" t="str">
        <f>Country!A111</f>
        <v>F235C4EB-B700-4B63-AB1A-36B02667DBA7</v>
      </c>
      <c r="C143" s="5" t="s">
        <v>205</v>
      </c>
      <c r="D143" t="str">
        <f>OrganisationV!B$16</f>
        <v>C62F6131-6BD1-4230-8D77-DD7983F8911B</v>
      </c>
      <c r="E143" t="s">
        <v>2</v>
      </c>
      <c r="F143" t="s">
        <v>2</v>
      </c>
      <c r="G143" s="3" t="str">
        <f t="shared" si="51"/>
        <v>1850-01-01 00:00:00</v>
      </c>
      <c r="H143" s="3" t="str">
        <f t="shared" si="49"/>
        <v>2999-12-31  23:59:59</v>
      </c>
      <c r="I143" s="5" t="s">
        <v>25</v>
      </c>
      <c r="J143" s="5" t="s">
        <v>26</v>
      </c>
      <c r="K143" t="str">
        <f>Constants!$B$4</f>
        <v>administrator@footballoracle.co.uk</v>
      </c>
      <c r="L143" s="2" t="str">
        <f t="shared" ca="1" si="55"/>
        <v>2014-08-22 08:22:04</v>
      </c>
      <c r="M143" t="str">
        <f t="shared" si="56"/>
        <v>administrator@footballoracle.co.uk</v>
      </c>
      <c r="N143" s="2" t="str">
        <f t="shared" ca="1" si="48"/>
        <v>2014-08-22 08:22:04</v>
      </c>
    </row>
    <row r="144" spans="1:14" x14ac:dyDescent="0.25">
      <c r="A144" t="str">
        <f t="shared" si="54"/>
        <v>F5DD680E-5E77-48B5-97B1-33C4B3E0DD1D</v>
      </c>
      <c r="B144" t="str">
        <f>Country!A112</f>
        <v>41D7044C-0B4C-41D2-A733-85332EE47218</v>
      </c>
      <c r="C144" s="5" t="s">
        <v>206</v>
      </c>
      <c r="D144" t="str">
        <f>OrganisationV!B$16</f>
        <v>C62F6131-6BD1-4230-8D77-DD7983F8911B</v>
      </c>
      <c r="E144" t="s">
        <v>2</v>
      </c>
      <c r="F144" t="s">
        <v>2</v>
      </c>
      <c r="G144" s="3" t="str">
        <f t="shared" si="51"/>
        <v>1850-01-01 00:00:00</v>
      </c>
      <c r="H144" s="3" t="str">
        <f t="shared" si="49"/>
        <v>2999-12-31  23:59:59</v>
      </c>
      <c r="I144" s="5" t="s">
        <v>25</v>
      </c>
      <c r="J144" s="5" t="s">
        <v>26</v>
      </c>
      <c r="K144" t="str">
        <f>Constants!$B$4</f>
        <v>administrator@footballoracle.co.uk</v>
      </c>
      <c r="L144" s="2" t="str">
        <f t="shared" ca="1" si="55"/>
        <v>2014-08-22 08:22:04</v>
      </c>
      <c r="M144" t="str">
        <f t="shared" si="56"/>
        <v>administrator@footballoracle.co.uk</v>
      </c>
      <c r="N144" s="2" t="str">
        <f t="shared" ca="1" si="48"/>
        <v>2014-08-22 08:22:04</v>
      </c>
    </row>
    <row r="145" spans="1:14" x14ac:dyDescent="0.25">
      <c r="A145" t="str">
        <f t="shared" si="54"/>
        <v>F8ECD397-CF8D-4038-B5EF-01F5A2CEEF2E</v>
      </c>
      <c r="B145" t="str">
        <f>Country!A113</f>
        <v>1CC5606E-0BEE-41E4-BDC3-1E27B0C5EFB2</v>
      </c>
      <c r="C145" s="5" t="s">
        <v>207</v>
      </c>
      <c r="D145" t="str">
        <f>OrganisationV!B$16</f>
        <v>C62F6131-6BD1-4230-8D77-DD7983F8911B</v>
      </c>
      <c r="E145" t="s">
        <v>2</v>
      </c>
      <c r="F145" t="s">
        <v>2</v>
      </c>
      <c r="G145" s="3" t="str">
        <f t="shared" si="51"/>
        <v>1850-01-01 00:00:00</v>
      </c>
      <c r="H145" s="3" t="str">
        <f t="shared" si="49"/>
        <v>2999-12-31  23:59:59</v>
      </c>
      <c r="I145" s="5" t="s">
        <v>25</v>
      </c>
      <c r="J145" s="5" t="s">
        <v>26</v>
      </c>
      <c r="K145" t="str">
        <f>Constants!$B$4</f>
        <v>administrator@footballoracle.co.uk</v>
      </c>
      <c r="L145" s="2" t="str">
        <f t="shared" ca="1" si="55"/>
        <v>2014-08-22 08:22:04</v>
      </c>
      <c r="M145" t="str">
        <f t="shared" si="56"/>
        <v>administrator@footballoracle.co.uk</v>
      </c>
      <c r="N145" s="2" t="str">
        <f t="shared" ca="1" si="48"/>
        <v>2014-08-22 08:22:04</v>
      </c>
    </row>
    <row r="146" spans="1:14" x14ac:dyDescent="0.25">
      <c r="A146" t="str">
        <f t="shared" si="54"/>
        <v>258BB8C1-66E9-426F-B4E9-310AA7172A01</v>
      </c>
      <c r="B146" t="str">
        <f>Country!A114</f>
        <v>F8A4480D-4E06-427B-BF23-6D694332B67B</v>
      </c>
      <c r="C146" s="5" t="s">
        <v>208</v>
      </c>
      <c r="D146" t="str">
        <f>OrganisationV!B$16</f>
        <v>C62F6131-6BD1-4230-8D77-DD7983F8911B</v>
      </c>
      <c r="E146" t="s">
        <v>2</v>
      </c>
      <c r="F146" t="s">
        <v>2</v>
      </c>
      <c r="G146" s="3" t="str">
        <f t="shared" si="51"/>
        <v>1850-01-01 00:00:00</v>
      </c>
      <c r="H146" s="3" t="str">
        <f t="shared" si="49"/>
        <v>2999-12-31  23:59:59</v>
      </c>
      <c r="I146" s="5" t="s">
        <v>25</v>
      </c>
      <c r="J146" s="5" t="s">
        <v>26</v>
      </c>
      <c r="K146" t="str">
        <f>Constants!$B$4</f>
        <v>administrator@footballoracle.co.uk</v>
      </c>
      <c r="L146" s="2" t="str">
        <f t="shared" ca="1" si="55"/>
        <v>2014-08-22 08:22:04</v>
      </c>
      <c r="M146" t="str">
        <f t="shared" si="56"/>
        <v>administrator@footballoracle.co.uk</v>
      </c>
      <c r="N146" s="2" t="str">
        <f t="shared" ca="1" si="48"/>
        <v>2014-08-22 08:22:04</v>
      </c>
    </row>
    <row r="147" spans="1:14" x14ac:dyDescent="0.25">
      <c r="A147" t="str">
        <f t="shared" si="54"/>
        <v>C928AFF1-A879-4C8C-9960-740D268D6620</v>
      </c>
      <c r="B147" t="str">
        <f>Country!A115</f>
        <v>3B5EB3B2-16AD-4606-8D44-64EC9B85A283</v>
      </c>
      <c r="C147" s="5" t="s">
        <v>209</v>
      </c>
      <c r="D147" t="str">
        <f>OrganisationV!B$16</f>
        <v>C62F6131-6BD1-4230-8D77-DD7983F8911B</v>
      </c>
      <c r="E147" t="s">
        <v>2</v>
      </c>
      <c r="F147" t="s">
        <v>2</v>
      </c>
      <c r="G147" s="3" t="str">
        <f t="shared" si="51"/>
        <v>1850-01-01 00:00:00</v>
      </c>
      <c r="H147" s="3" t="str">
        <f t="shared" si="49"/>
        <v>2999-12-31  23:59:59</v>
      </c>
      <c r="I147" s="5" t="s">
        <v>25</v>
      </c>
      <c r="J147" s="5" t="s">
        <v>26</v>
      </c>
      <c r="K147" t="str">
        <f>Constants!$B$4</f>
        <v>administrator@footballoracle.co.uk</v>
      </c>
      <c r="L147" s="2" t="str">
        <f t="shared" ca="1" si="55"/>
        <v>2014-08-22 08:22:04</v>
      </c>
      <c r="M147" t="str">
        <f t="shared" si="56"/>
        <v>administrator@footballoracle.co.uk</v>
      </c>
      <c r="N147" s="2" t="str">
        <f t="shared" ca="1" si="48"/>
        <v>2014-08-22 08:22:04</v>
      </c>
    </row>
    <row r="148" spans="1:14" x14ac:dyDescent="0.25">
      <c r="A148" t="str">
        <f t="shared" si="54"/>
        <v>220E3CE4-08B1-4394-A109-8C6F1AF835DC</v>
      </c>
      <c r="B148" t="str">
        <f>Country!A116</f>
        <v>6CCC9FAF-B036-4925-A1F2-A453BB948220</v>
      </c>
      <c r="C148" s="5" t="s">
        <v>211</v>
      </c>
      <c r="D148" t="str">
        <f>OrganisationV!B$17</f>
        <v>83239B57-0F7F-4EA6-BC15-B0213B0B91EC</v>
      </c>
      <c r="E148" t="s">
        <v>2</v>
      </c>
      <c r="F148" t="s">
        <v>2</v>
      </c>
      <c r="G148" s="3" t="str">
        <f t="shared" si="51"/>
        <v>1850-01-01 00:00:00</v>
      </c>
      <c r="H148" s="3" t="str">
        <f t="shared" si="49"/>
        <v>2999-12-31  23:59:59</v>
      </c>
      <c r="I148" s="5" t="s">
        <v>25</v>
      </c>
      <c r="J148" s="5" t="s">
        <v>26</v>
      </c>
      <c r="K148" t="str">
        <f>Constants!$B$4</f>
        <v>administrator@footballoracle.co.uk</v>
      </c>
      <c r="L148" s="2" t="str">
        <f t="shared" ca="1" si="55"/>
        <v>2014-08-22 08:22:04</v>
      </c>
      <c r="M148" t="str">
        <f t="shared" ref="M148" si="57">K148</f>
        <v>administrator@footballoracle.co.uk</v>
      </c>
      <c r="N148" s="2" t="str">
        <f t="shared" ca="1" si="48"/>
        <v>2014-08-22 08:22:04</v>
      </c>
    </row>
    <row r="149" spans="1:14" x14ac:dyDescent="0.25">
      <c r="A149" t="str">
        <f t="shared" si="54"/>
        <v>96CC643C-846A-4ACB-8E86-858BAFB0A925</v>
      </c>
      <c r="B149" t="str">
        <f>Country!A117</f>
        <v>8910C3F2-9B6B-4C46-8919-84DD86936AD5</v>
      </c>
      <c r="C149" s="5" t="s">
        <v>212</v>
      </c>
      <c r="D149" t="str">
        <f>OrganisationV!B$17</f>
        <v>83239B57-0F7F-4EA6-BC15-B0213B0B91EC</v>
      </c>
      <c r="E149" t="s">
        <v>2</v>
      </c>
      <c r="F149" t="s">
        <v>2</v>
      </c>
      <c r="G149" s="3" t="str">
        <f t="shared" si="51"/>
        <v>1850-01-01 00:00:00</v>
      </c>
      <c r="H149" s="3" t="str">
        <f t="shared" si="49"/>
        <v>2999-12-31  23:59:59</v>
      </c>
      <c r="I149" s="5" t="s">
        <v>25</v>
      </c>
      <c r="J149" s="5" t="s">
        <v>26</v>
      </c>
      <c r="K149" t="str">
        <f>Constants!$B$4</f>
        <v>administrator@footballoracle.co.uk</v>
      </c>
      <c r="L149" s="2" t="str">
        <f t="shared" ca="1" si="55"/>
        <v>2014-08-22 08:22:04</v>
      </c>
      <c r="M149" t="str">
        <f t="shared" ref="M149:M181" si="58">K149</f>
        <v>administrator@footballoracle.co.uk</v>
      </c>
      <c r="N149" s="2" t="str">
        <f t="shared" ca="1" si="48"/>
        <v>2014-08-22 08:22:04</v>
      </c>
    </row>
    <row r="150" spans="1:14" x14ac:dyDescent="0.25">
      <c r="A150" t="str">
        <f t="shared" si="54"/>
        <v>7648946F-E20A-4A71-8752-36CFA47AC585</v>
      </c>
      <c r="B150" t="str">
        <f>Country!A118</f>
        <v>801B4B08-F311-4E1C-8288-1B29218148D6</v>
      </c>
      <c r="C150" s="5" t="s">
        <v>213</v>
      </c>
      <c r="D150" t="str">
        <f>OrganisationV!B$17</f>
        <v>83239B57-0F7F-4EA6-BC15-B0213B0B91EC</v>
      </c>
      <c r="E150" t="s">
        <v>2</v>
      </c>
      <c r="F150" t="s">
        <v>2</v>
      </c>
      <c r="G150" s="3" t="str">
        <f t="shared" si="51"/>
        <v>1850-01-01 00:00:00</v>
      </c>
      <c r="H150" s="3" t="str">
        <f t="shared" si="49"/>
        <v>2999-12-31  23:59:59</v>
      </c>
      <c r="I150" s="5" t="s">
        <v>25</v>
      </c>
      <c r="J150" s="5" t="s">
        <v>26</v>
      </c>
      <c r="K150" t="str">
        <f>Constants!$B$4</f>
        <v>administrator@footballoracle.co.uk</v>
      </c>
      <c r="L150" s="2" t="str">
        <f t="shared" ca="1" si="55"/>
        <v>2014-08-22 08:22:04</v>
      </c>
      <c r="M150" t="str">
        <f t="shared" si="58"/>
        <v>administrator@footballoracle.co.uk</v>
      </c>
      <c r="N150" s="2" t="str">
        <f t="shared" ca="1" si="48"/>
        <v>2014-08-22 08:22:04</v>
      </c>
    </row>
    <row r="151" spans="1:14" x14ac:dyDescent="0.25">
      <c r="A151" t="str">
        <f t="shared" si="54"/>
        <v>8905AF33-936D-4E68-8D09-8486B2A31655</v>
      </c>
      <c r="B151" t="str">
        <f>Country!A119</f>
        <v>8786C923-F361-405A-A468-810A8D145040</v>
      </c>
      <c r="C151" s="5" t="s">
        <v>214</v>
      </c>
      <c r="D151" t="str">
        <f>OrganisationV!B$17</f>
        <v>83239B57-0F7F-4EA6-BC15-B0213B0B91EC</v>
      </c>
      <c r="E151" t="s">
        <v>2</v>
      </c>
      <c r="F151" t="s">
        <v>2</v>
      </c>
      <c r="G151" s="3" t="str">
        <f t="shared" si="51"/>
        <v>1850-01-01 00:00:00</v>
      </c>
      <c r="H151" s="3" t="str">
        <f t="shared" si="49"/>
        <v>2999-12-31  23:59:59</v>
      </c>
      <c r="I151" s="5" t="s">
        <v>25</v>
      </c>
      <c r="J151" s="5" t="s">
        <v>26</v>
      </c>
      <c r="K151" t="str">
        <f>Constants!$B$4</f>
        <v>administrator@footballoracle.co.uk</v>
      </c>
      <c r="L151" s="2" t="str">
        <f t="shared" ca="1" si="55"/>
        <v>2014-08-22 08:22:04</v>
      </c>
      <c r="M151" t="str">
        <f t="shared" si="58"/>
        <v>administrator@footballoracle.co.uk</v>
      </c>
      <c r="N151" s="2" t="str">
        <f t="shared" ca="1" si="48"/>
        <v>2014-08-22 08:22:04</v>
      </c>
    </row>
    <row r="152" spans="1:14" x14ac:dyDescent="0.25">
      <c r="A152" t="str">
        <f t="shared" si="54"/>
        <v>7620B0F4-D729-4E75-9189-B6123F49309B</v>
      </c>
      <c r="B152" t="str">
        <f>Country!A120</f>
        <v>E193BCA9-46B9-46A7-A0A9-B2525623051E</v>
      </c>
      <c r="C152" s="5" t="s">
        <v>215</v>
      </c>
      <c r="D152" t="str">
        <f>OrganisationV!B$17</f>
        <v>83239B57-0F7F-4EA6-BC15-B0213B0B91EC</v>
      </c>
      <c r="E152" t="s">
        <v>2</v>
      </c>
      <c r="F152" t="s">
        <v>2</v>
      </c>
      <c r="G152" s="3" t="str">
        <f t="shared" si="51"/>
        <v>1850-01-01 00:00:00</v>
      </c>
      <c r="H152" s="3" t="str">
        <f t="shared" si="49"/>
        <v>2999-12-31  23:59:59</v>
      </c>
      <c r="I152" s="5" t="s">
        <v>25</v>
      </c>
      <c r="J152" s="5" t="s">
        <v>26</v>
      </c>
      <c r="K152" t="str">
        <f>Constants!$B$4</f>
        <v>administrator@footballoracle.co.uk</v>
      </c>
      <c r="L152" s="2" t="str">
        <f t="shared" ca="1" si="55"/>
        <v>2014-08-22 08:22:04</v>
      </c>
      <c r="M152" t="str">
        <f t="shared" si="58"/>
        <v>administrator@footballoracle.co.uk</v>
      </c>
      <c r="N152" s="2" t="str">
        <f t="shared" ca="1" si="48"/>
        <v>2014-08-22 08:22:04</v>
      </c>
    </row>
    <row r="153" spans="1:14" x14ac:dyDescent="0.25">
      <c r="A153" t="str">
        <f t="shared" si="54"/>
        <v>A7D0A8C4-F64F-488A-BE2E-4CDFE0C5F250</v>
      </c>
      <c r="B153" t="str">
        <f>Country!A121</f>
        <v>430FB5EA-DCD7-460F-B512-08825A46ACBF</v>
      </c>
      <c r="C153" s="5" t="s">
        <v>216</v>
      </c>
      <c r="D153" t="str">
        <f>OrganisationV!B$17</f>
        <v>83239B57-0F7F-4EA6-BC15-B0213B0B91EC</v>
      </c>
      <c r="E153" t="s">
        <v>2</v>
      </c>
      <c r="F153" t="s">
        <v>2</v>
      </c>
      <c r="G153" s="3" t="str">
        <f t="shared" si="51"/>
        <v>1850-01-01 00:00:00</v>
      </c>
      <c r="H153" s="3" t="str">
        <f t="shared" si="49"/>
        <v>2999-12-31  23:59:59</v>
      </c>
      <c r="I153" s="5" t="s">
        <v>25</v>
      </c>
      <c r="J153" s="5" t="s">
        <v>26</v>
      </c>
      <c r="K153" t="str">
        <f>Constants!$B$4</f>
        <v>administrator@footballoracle.co.uk</v>
      </c>
      <c r="L153" s="2" t="str">
        <f t="shared" ca="1" si="55"/>
        <v>2014-08-22 08:22:04</v>
      </c>
      <c r="M153" t="str">
        <f t="shared" si="58"/>
        <v>administrator@footballoracle.co.uk</v>
      </c>
      <c r="N153" s="2" t="str">
        <f t="shared" ca="1" si="48"/>
        <v>2014-08-22 08:22:04</v>
      </c>
    </row>
    <row r="154" spans="1:14" x14ac:dyDescent="0.25">
      <c r="A154" t="str">
        <f t="shared" si="54"/>
        <v>7D56CE3B-D130-4A8D-AF95-2934B5ECED98</v>
      </c>
      <c r="B154" t="str">
        <f>Country!A122</f>
        <v>64E29EE7-70BC-44D1-B7C5-A3B7884C0BC8</v>
      </c>
      <c r="C154" s="5" t="s">
        <v>217</v>
      </c>
      <c r="D154" t="str">
        <f>OrganisationV!B$17</f>
        <v>83239B57-0F7F-4EA6-BC15-B0213B0B91EC</v>
      </c>
      <c r="E154" t="s">
        <v>2</v>
      </c>
      <c r="F154" t="s">
        <v>2</v>
      </c>
      <c r="G154" s="3" t="str">
        <f t="shared" si="51"/>
        <v>1850-01-01 00:00:00</v>
      </c>
      <c r="H154" s="3" t="str">
        <f t="shared" si="49"/>
        <v>2999-12-31  23:59:59</v>
      </c>
      <c r="I154" s="5" t="s">
        <v>25</v>
      </c>
      <c r="J154" s="5" t="s">
        <v>26</v>
      </c>
      <c r="K154" t="str">
        <f>Constants!$B$4</f>
        <v>administrator@footballoracle.co.uk</v>
      </c>
      <c r="L154" s="2" t="str">
        <f t="shared" ca="1" si="55"/>
        <v>2014-08-22 08:22:04</v>
      </c>
      <c r="M154" t="str">
        <f t="shared" si="58"/>
        <v>administrator@footballoracle.co.uk</v>
      </c>
      <c r="N154" s="2" t="str">
        <f t="shared" ca="1" si="48"/>
        <v>2014-08-22 08:22:04</v>
      </c>
    </row>
    <row r="155" spans="1:14" x14ac:dyDescent="0.25">
      <c r="A155" t="str">
        <f t="shared" si="54"/>
        <v>CC8DBE9F-B553-4F25-B6A3-AA880BDFC0D6</v>
      </c>
      <c r="B155" t="str">
        <f>Country!A123</f>
        <v>6F43D628-E40B-4F7F-B2BF-DC14E0C1C35E</v>
      </c>
      <c r="C155" s="5" t="s">
        <v>218</v>
      </c>
      <c r="D155" t="str">
        <f>OrganisationV!B$17</f>
        <v>83239B57-0F7F-4EA6-BC15-B0213B0B91EC</v>
      </c>
      <c r="E155" t="s">
        <v>2</v>
      </c>
      <c r="F155" t="s">
        <v>2</v>
      </c>
      <c r="G155" s="3" t="str">
        <f t="shared" si="51"/>
        <v>1850-01-01 00:00:00</v>
      </c>
      <c r="H155" s="3" t="str">
        <f t="shared" si="49"/>
        <v>2999-12-31  23:59:59</v>
      </c>
      <c r="I155" s="5" t="s">
        <v>25</v>
      </c>
      <c r="J155" s="5" t="s">
        <v>26</v>
      </c>
      <c r="K155" t="str">
        <f>Constants!$B$4</f>
        <v>administrator@footballoracle.co.uk</v>
      </c>
      <c r="L155" s="2" t="str">
        <f t="shared" ca="1" si="55"/>
        <v>2014-08-22 08:22:04</v>
      </c>
      <c r="M155" t="str">
        <f t="shared" si="58"/>
        <v>administrator@footballoracle.co.uk</v>
      </c>
      <c r="N155" s="2" t="str">
        <f t="shared" ca="1" si="48"/>
        <v>2014-08-22 08:22:04</v>
      </c>
    </row>
    <row r="156" spans="1:14" x14ac:dyDescent="0.25">
      <c r="A156" t="str">
        <f t="shared" ref="A156:A182" si="59">GetGuid()</f>
        <v>08BA4E15-315C-4975-B061-9DB4EE1B8A47</v>
      </c>
      <c r="B156" t="str">
        <f>Country!A124</f>
        <v>7C9AEB9E-C5B7-4459-81F3-9790E7BE9EA8</v>
      </c>
      <c r="C156" s="5" t="s">
        <v>219</v>
      </c>
      <c r="D156" t="str">
        <f>OrganisationV!B$17</f>
        <v>83239B57-0F7F-4EA6-BC15-B0213B0B91EC</v>
      </c>
      <c r="E156" t="s">
        <v>2</v>
      </c>
      <c r="F156" t="s">
        <v>2</v>
      </c>
      <c r="G156" s="3" t="str">
        <f t="shared" si="51"/>
        <v>1850-01-01 00:00:00</v>
      </c>
      <c r="H156" s="3" t="str">
        <f t="shared" si="49"/>
        <v>2999-12-31  23:59:59</v>
      </c>
      <c r="I156" s="5" t="s">
        <v>25</v>
      </c>
      <c r="J156" s="5" t="s">
        <v>26</v>
      </c>
      <c r="K156" t="str">
        <f>Constants!$B$4</f>
        <v>administrator@footballoracle.co.uk</v>
      </c>
      <c r="L156" s="2" t="str">
        <f t="shared" ca="1" si="55"/>
        <v>2014-08-22 08:22:04</v>
      </c>
      <c r="M156" t="str">
        <f t="shared" si="58"/>
        <v>administrator@footballoracle.co.uk</v>
      </c>
      <c r="N156" s="2" t="str">
        <f t="shared" ca="1" si="48"/>
        <v>2014-08-22 08:22:04</v>
      </c>
    </row>
    <row r="157" spans="1:14" x14ac:dyDescent="0.25">
      <c r="A157" t="str">
        <f t="shared" si="59"/>
        <v>5F581477-6544-4764-B82E-677F31489727</v>
      </c>
      <c r="B157" t="str">
        <f>Country!A125</f>
        <v>C9CE650F-A40B-441E-A57F-655436D429D5</v>
      </c>
      <c r="C157" s="5" t="s">
        <v>220</v>
      </c>
      <c r="D157" t="str">
        <f>OrganisationV!B$17</f>
        <v>83239B57-0F7F-4EA6-BC15-B0213B0B91EC</v>
      </c>
      <c r="E157" t="s">
        <v>2</v>
      </c>
      <c r="F157" t="s">
        <v>2</v>
      </c>
      <c r="G157" s="3" t="str">
        <f t="shared" si="51"/>
        <v>1850-01-01 00:00:00</v>
      </c>
      <c r="H157" s="3" t="str">
        <f t="shared" si="49"/>
        <v>2999-12-31  23:59:59</v>
      </c>
      <c r="I157" s="5" t="s">
        <v>25</v>
      </c>
      <c r="J157" s="5" t="s">
        <v>26</v>
      </c>
      <c r="K157" t="str">
        <f>Constants!$B$4</f>
        <v>administrator@footballoracle.co.uk</v>
      </c>
      <c r="L157" s="2" t="str">
        <f t="shared" ca="1" si="55"/>
        <v>2014-08-22 08:22:04</v>
      </c>
      <c r="M157" t="str">
        <f t="shared" si="58"/>
        <v>administrator@footballoracle.co.uk</v>
      </c>
      <c r="N157" s="2" t="str">
        <f t="shared" ca="1" si="48"/>
        <v>2014-08-22 08:22:04</v>
      </c>
    </row>
    <row r="158" spans="1:14" x14ac:dyDescent="0.25">
      <c r="A158" t="str">
        <f t="shared" si="59"/>
        <v>58323F5F-D0C2-45F3-B515-D5D65D6D4C55</v>
      </c>
      <c r="B158" t="str">
        <f>B157</f>
        <v>C9CE650F-A40B-441E-A57F-655436D429D5</v>
      </c>
      <c r="C158" s="5" t="s">
        <v>221</v>
      </c>
      <c r="D158" t="str">
        <f>OrganisationV!B$17</f>
        <v>83239B57-0F7F-4EA6-BC15-B0213B0B91EC</v>
      </c>
      <c r="E158" t="s">
        <v>2</v>
      </c>
      <c r="F158" t="s">
        <v>2</v>
      </c>
      <c r="G158" s="3" t="str">
        <f t="shared" si="51"/>
        <v>1850-01-01 00:00:00</v>
      </c>
      <c r="H158" s="3">
        <v>33397.999988425923</v>
      </c>
      <c r="I158" s="5" t="s">
        <v>25</v>
      </c>
      <c r="J158" s="5" t="s">
        <v>26</v>
      </c>
      <c r="K158" t="str">
        <f>Constants!$B$4</f>
        <v>administrator@footballoracle.co.uk</v>
      </c>
      <c r="L158" s="2" t="str">
        <f t="shared" ca="1" si="55"/>
        <v>2014-08-22 08:22:04</v>
      </c>
      <c r="M158" t="str">
        <f t="shared" si="58"/>
        <v>administrator@footballoracle.co.uk</v>
      </c>
      <c r="N158" s="2" t="str">
        <f t="shared" ca="1" si="48"/>
        <v>2014-08-22 08:22:04</v>
      </c>
    </row>
    <row r="159" spans="1:14" x14ac:dyDescent="0.25">
      <c r="A159" t="str">
        <f t="shared" si="59"/>
        <v>78C4D7CF-6A74-4912-9D93-C6BC136CAEC8</v>
      </c>
      <c r="B159" t="str">
        <f>Country!A126</f>
        <v>7847C78E-ACAE-4820-9E01-464047C7E47B</v>
      </c>
      <c r="C159" s="5" t="s">
        <v>222</v>
      </c>
      <c r="D159" t="str">
        <f>OrganisationV!B$17</f>
        <v>83239B57-0F7F-4EA6-BC15-B0213B0B91EC</v>
      </c>
      <c r="E159" t="s">
        <v>2</v>
      </c>
      <c r="F159" t="s">
        <v>2</v>
      </c>
      <c r="G159" s="3">
        <v>33398</v>
      </c>
      <c r="H159" s="3" t="str">
        <f t="shared" ref="H159:H176" si="60">VLOOKUP("highdate",DateConstants,2)</f>
        <v>2999-12-31  23:59:59</v>
      </c>
      <c r="I159" s="5" t="s">
        <v>25</v>
      </c>
      <c r="J159" s="5" t="s">
        <v>26</v>
      </c>
      <c r="K159" t="str">
        <f>Constants!$B$4</f>
        <v>administrator@footballoracle.co.uk</v>
      </c>
      <c r="L159" s="2" t="str">
        <f t="shared" ca="1" si="55"/>
        <v>2014-08-22 08:22:04</v>
      </c>
      <c r="M159" t="str">
        <f t="shared" si="58"/>
        <v>administrator@footballoracle.co.uk</v>
      </c>
      <c r="N159" s="2" t="str">
        <f t="shared" ca="1" si="48"/>
        <v>2014-08-22 08:22:04</v>
      </c>
    </row>
    <row r="160" spans="1:14" x14ac:dyDescent="0.25">
      <c r="A160" t="str">
        <f t="shared" si="59"/>
        <v>09EABB45-10C5-4B72-92A5-04B4815F211C</v>
      </c>
      <c r="B160" t="str">
        <f>Country!A127</f>
        <v>C8D31AB4-DDC2-4162-B5E8-F7C308308FCE</v>
      </c>
      <c r="C160" s="5" t="s">
        <v>223</v>
      </c>
      <c r="D160" t="str">
        <f>OrganisationV!B$17</f>
        <v>83239B57-0F7F-4EA6-BC15-B0213B0B91EC</v>
      </c>
      <c r="E160" t="s">
        <v>2</v>
      </c>
      <c r="F160" t="s">
        <v>2</v>
      </c>
      <c r="G160" s="3" t="str">
        <f t="shared" ref="G160:G177" si="61">VLOOKUP("lowdate",DateConstants,2)</f>
        <v>1850-01-01 00:00:00</v>
      </c>
      <c r="H160" s="3" t="str">
        <f t="shared" si="60"/>
        <v>2999-12-31  23:59:59</v>
      </c>
      <c r="I160" s="5" t="s">
        <v>25</v>
      </c>
      <c r="J160" s="5" t="s">
        <v>26</v>
      </c>
      <c r="K160" t="str">
        <f>Constants!$B$4</f>
        <v>administrator@footballoracle.co.uk</v>
      </c>
      <c r="L160" s="2" t="str">
        <f t="shared" ca="1" si="55"/>
        <v>2014-08-22 08:22:04</v>
      </c>
      <c r="M160" t="str">
        <f t="shared" si="58"/>
        <v>administrator@footballoracle.co.uk</v>
      </c>
      <c r="N160" s="2" t="str">
        <f t="shared" ca="1" si="48"/>
        <v>2014-08-22 08:22:04</v>
      </c>
    </row>
    <row r="161" spans="1:14" x14ac:dyDescent="0.25">
      <c r="A161" t="str">
        <f t="shared" si="59"/>
        <v>EADEF062-477F-4601-96B3-32C1E53F2C45</v>
      </c>
      <c r="B161" t="str">
        <f>Country!A128</f>
        <v>A84FEF10-9A39-4E04-BC8D-C262B2FB93A7</v>
      </c>
      <c r="C161" s="5" t="s">
        <v>224</v>
      </c>
      <c r="D161" t="str">
        <f>OrganisationV!B$17</f>
        <v>83239B57-0F7F-4EA6-BC15-B0213B0B91EC</v>
      </c>
      <c r="E161" t="s">
        <v>2</v>
      </c>
      <c r="F161" t="s">
        <v>2</v>
      </c>
      <c r="G161" s="3" t="str">
        <f t="shared" si="61"/>
        <v>1850-01-01 00:00:00</v>
      </c>
      <c r="H161" s="3" t="str">
        <f t="shared" si="60"/>
        <v>2999-12-31  23:59:59</v>
      </c>
      <c r="I161" s="5" t="s">
        <v>25</v>
      </c>
      <c r="J161" s="5" t="s">
        <v>26</v>
      </c>
      <c r="K161" t="str">
        <f>Constants!$B$4</f>
        <v>administrator@footballoracle.co.uk</v>
      </c>
      <c r="L161" s="2" t="str">
        <f t="shared" ca="1" si="55"/>
        <v>2014-08-22 08:22:04</v>
      </c>
      <c r="M161" t="str">
        <f t="shared" si="58"/>
        <v>administrator@footballoracle.co.uk</v>
      </c>
      <c r="N161" s="2" t="str">
        <f t="shared" ca="1" si="48"/>
        <v>2014-08-22 08:22:04</v>
      </c>
    </row>
    <row r="162" spans="1:14" x14ac:dyDescent="0.25">
      <c r="A162" t="str">
        <f t="shared" si="59"/>
        <v>989203C8-79D2-4989-8F35-382CC52AC793</v>
      </c>
      <c r="B162" t="str">
        <f>Country!A129</f>
        <v>0C445F0F-A541-48E0-92C4-B2F2C2E9AAD5</v>
      </c>
      <c r="C162" s="5" t="s">
        <v>225</v>
      </c>
      <c r="D162" t="str">
        <f>OrganisationV!B$17</f>
        <v>83239B57-0F7F-4EA6-BC15-B0213B0B91EC</v>
      </c>
      <c r="E162" t="s">
        <v>2</v>
      </c>
      <c r="F162" t="s">
        <v>2</v>
      </c>
      <c r="G162" s="3" t="str">
        <f t="shared" si="61"/>
        <v>1850-01-01 00:00:00</v>
      </c>
      <c r="H162" s="3" t="str">
        <f t="shared" si="60"/>
        <v>2999-12-31  23:59:59</v>
      </c>
      <c r="I162" s="5" t="s">
        <v>25</v>
      </c>
      <c r="J162" s="5" t="s">
        <v>26</v>
      </c>
      <c r="K162" t="str">
        <f>Constants!$B$4</f>
        <v>administrator@footballoracle.co.uk</v>
      </c>
      <c r="L162" s="2" t="str">
        <f t="shared" ca="1" si="55"/>
        <v>2014-08-22 08:22:04</v>
      </c>
      <c r="M162" t="str">
        <f t="shared" si="58"/>
        <v>administrator@footballoracle.co.uk</v>
      </c>
      <c r="N162" s="2" t="str">
        <f t="shared" ca="1" si="48"/>
        <v>2014-08-22 08:22:04</v>
      </c>
    </row>
    <row r="163" spans="1:14" x14ac:dyDescent="0.25">
      <c r="A163" t="str">
        <f t="shared" si="59"/>
        <v>13148EEF-53EE-4820-AC69-9E9EE3330460</v>
      </c>
      <c r="B163" t="str">
        <f>Country!A130</f>
        <v>2E44D59D-DAAB-48A0-949A-84DDBC711F63</v>
      </c>
      <c r="C163" s="5" t="s">
        <v>226</v>
      </c>
      <c r="D163" t="str">
        <f>OrganisationV!B$17</f>
        <v>83239B57-0F7F-4EA6-BC15-B0213B0B91EC</v>
      </c>
      <c r="E163" t="s">
        <v>2</v>
      </c>
      <c r="F163" t="s">
        <v>2</v>
      </c>
      <c r="G163" s="3" t="str">
        <f t="shared" si="61"/>
        <v>1850-01-01 00:00:00</v>
      </c>
      <c r="H163" s="3" t="str">
        <f t="shared" si="60"/>
        <v>2999-12-31  23:59:59</v>
      </c>
      <c r="I163" s="5" t="s">
        <v>25</v>
      </c>
      <c r="J163" s="5" t="s">
        <v>26</v>
      </c>
      <c r="K163" t="str">
        <f>Constants!$B$4</f>
        <v>administrator@footballoracle.co.uk</v>
      </c>
      <c r="L163" s="2" t="str">
        <f t="shared" ca="1" si="55"/>
        <v>2014-08-22 08:22:04</v>
      </c>
      <c r="M163" t="str">
        <f t="shared" si="58"/>
        <v>administrator@footballoracle.co.uk</v>
      </c>
      <c r="N163" s="2" t="str">
        <f t="shared" ca="1" si="48"/>
        <v>2014-08-22 08:22:04</v>
      </c>
    </row>
    <row r="164" spans="1:14" x14ac:dyDescent="0.25">
      <c r="A164" t="str">
        <f t="shared" si="59"/>
        <v>DAD39E6C-22DD-4678-9620-0AEC5533158D</v>
      </c>
      <c r="B164" t="str">
        <f>Country!A131</f>
        <v>B6DE6B61-3229-4C8E-89A1-73A6CFF7C3F8</v>
      </c>
      <c r="C164" s="5" t="s">
        <v>227</v>
      </c>
      <c r="D164" t="str">
        <f>OrganisationV!B$17</f>
        <v>83239B57-0F7F-4EA6-BC15-B0213B0B91EC</v>
      </c>
      <c r="E164" t="s">
        <v>2</v>
      </c>
      <c r="F164" t="s">
        <v>2</v>
      </c>
      <c r="G164" s="3" t="str">
        <f t="shared" si="61"/>
        <v>1850-01-01 00:00:00</v>
      </c>
      <c r="H164" s="3" t="str">
        <f t="shared" si="60"/>
        <v>2999-12-31  23:59:59</v>
      </c>
      <c r="I164" s="5" t="s">
        <v>25</v>
      </c>
      <c r="J164" s="5" t="s">
        <v>26</v>
      </c>
      <c r="K164" t="str">
        <f>Constants!$B$4</f>
        <v>administrator@footballoracle.co.uk</v>
      </c>
      <c r="L164" s="2" t="str">
        <f t="shared" ca="1" si="55"/>
        <v>2014-08-22 08:22:04</v>
      </c>
      <c r="M164" t="str">
        <f t="shared" si="58"/>
        <v>administrator@footballoracle.co.uk</v>
      </c>
      <c r="N164" s="2" t="str">
        <f t="shared" ca="1" si="48"/>
        <v>2014-08-22 08:22:04</v>
      </c>
    </row>
    <row r="165" spans="1:14" x14ac:dyDescent="0.25">
      <c r="A165" t="str">
        <f t="shared" si="59"/>
        <v>874F3EDB-2EFB-4317-93DE-A1ED3E2CA329</v>
      </c>
      <c r="B165" t="str">
        <f>Country!A132</f>
        <v>9B1E026D-76DB-41E4-AEBA-993EAD5793BF</v>
      </c>
      <c r="C165" s="5" t="s">
        <v>228</v>
      </c>
      <c r="D165" t="str">
        <f>OrganisationV!B$17</f>
        <v>83239B57-0F7F-4EA6-BC15-B0213B0B91EC</v>
      </c>
      <c r="E165" t="s">
        <v>2</v>
      </c>
      <c r="F165" t="s">
        <v>2</v>
      </c>
      <c r="G165" s="3" t="str">
        <f t="shared" si="61"/>
        <v>1850-01-01 00:00:00</v>
      </c>
      <c r="H165" s="3" t="str">
        <f t="shared" si="60"/>
        <v>2999-12-31  23:59:59</v>
      </c>
      <c r="I165" s="5" t="s">
        <v>25</v>
      </c>
      <c r="J165" s="5" t="s">
        <v>26</v>
      </c>
      <c r="K165" t="str">
        <f>Constants!$B$4</f>
        <v>administrator@footballoracle.co.uk</v>
      </c>
      <c r="L165" s="2" t="str">
        <f t="shared" ca="1" si="55"/>
        <v>2014-08-22 08:22:04</v>
      </c>
      <c r="M165" t="str">
        <f t="shared" si="58"/>
        <v>administrator@footballoracle.co.uk</v>
      </c>
      <c r="N165" s="2" t="str">
        <f t="shared" ca="1" si="48"/>
        <v>2014-08-22 08:22:04</v>
      </c>
    </row>
    <row r="166" spans="1:14" x14ac:dyDescent="0.25">
      <c r="A166" t="str">
        <f t="shared" si="59"/>
        <v>98C9AB9D-62DD-4149-AA61-2E99DF89DA11</v>
      </c>
      <c r="B166" t="str">
        <f>Country!A133</f>
        <v>CC52B61D-DA82-4EFE-8E87-D246B01FB630</v>
      </c>
      <c r="C166" s="5" t="s">
        <v>229</v>
      </c>
      <c r="D166" t="str">
        <f>OrganisationV!B$17</f>
        <v>83239B57-0F7F-4EA6-BC15-B0213B0B91EC</v>
      </c>
      <c r="E166" t="s">
        <v>2</v>
      </c>
      <c r="F166" t="s">
        <v>2</v>
      </c>
      <c r="G166" s="3" t="str">
        <f t="shared" si="61"/>
        <v>1850-01-01 00:00:00</v>
      </c>
      <c r="H166" s="3" t="str">
        <f t="shared" si="60"/>
        <v>2999-12-31  23:59:59</v>
      </c>
      <c r="I166" s="5" t="s">
        <v>25</v>
      </c>
      <c r="J166" s="5" t="s">
        <v>26</v>
      </c>
      <c r="K166" t="str">
        <f>Constants!$B$4</f>
        <v>administrator@footballoracle.co.uk</v>
      </c>
      <c r="L166" s="2" t="str">
        <f t="shared" ca="1" si="55"/>
        <v>2014-08-22 08:22:04</v>
      </c>
      <c r="M166" t="str">
        <f t="shared" si="58"/>
        <v>administrator@footballoracle.co.uk</v>
      </c>
      <c r="N166" s="2" t="str">
        <f t="shared" ca="1" si="48"/>
        <v>2014-08-22 08:22:04</v>
      </c>
    </row>
    <row r="167" spans="1:14" x14ac:dyDescent="0.25">
      <c r="A167" t="str">
        <f t="shared" si="59"/>
        <v>63F47DB4-BAAA-441D-BC91-1A487CE05373</v>
      </c>
      <c r="B167" t="str">
        <f>Country!A134</f>
        <v>C794593F-4A35-45C2-A556-AB3449C26E3A</v>
      </c>
      <c r="C167" s="5" t="s">
        <v>230</v>
      </c>
      <c r="D167" t="str">
        <f>OrganisationV!B$17</f>
        <v>83239B57-0F7F-4EA6-BC15-B0213B0B91EC</v>
      </c>
      <c r="E167" t="s">
        <v>2</v>
      </c>
      <c r="F167" t="s">
        <v>2</v>
      </c>
      <c r="G167" s="3" t="str">
        <f t="shared" si="61"/>
        <v>1850-01-01 00:00:00</v>
      </c>
      <c r="H167" s="3" t="str">
        <f t="shared" si="60"/>
        <v>2999-12-31  23:59:59</v>
      </c>
      <c r="I167" s="5" t="s">
        <v>25</v>
      </c>
      <c r="J167" s="5" t="s">
        <v>26</v>
      </c>
      <c r="K167" t="str">
        <f>Constants!$B$4</f>
        <v>administrator@footballoracle.co.uk</v>
      </c>
      <c r="L167" s="2" t="str">
        <f t="shared" ca="1" si="55"/>
        <v>2014-08-22 08:22:04</v>
      </c>
      <c r="M167" t="str">
        <f t="shared" si="58"/>
        <v>administrator@footballoracle.co.uk</v>
      </c>
      <c r="N167" s="2" t="str">
        <f t="shared" ca="1" si="48"/>
        <v>2014-08-22 08:22:04</v>
      </c>
    </row>
    <row r="168" spans="1:14" x14ac:dyDescent="0.25">
      <c r="A168" t="str">
        <f t="shared" si="59"/>
        <v>6DBADE8A-7437-456B-A878-BC4F940BD0B8</v>
      </c>
      <c r="B168" t="str">
        <f>Country!A135</f>
        <v>41B010F3-1E21-4517-804D-D975D26E5817</v>
      </c>
      <c r="C168" s="5" t="s">
        <v>231</v>
      </c>
      <c r="D168" t="str">
        <f>OrganisationV!B$17</f>
        <v>83239B57-0F7F-4EA6-BC15-B0213B0B91EC</v>
      </c>
      <c r="E168" t="s">
        <v>2</v>
      </c>
      <c r="F168" t="s">
        <v>2</v>
      </c>
      <c r="G168" s="3" t="str">
        <f t="shared" si="61"/>
        <v>1850-01-01 00:00:00</v>
      </c>
      <c r="H168" s="3" t="str">
        <f t="shared" si="60"/>
        <v>2999-12-31  23:59:59</v>
      </c>
      <c r="I168" s="5" t="s">
        <v>25</v>
      </c>
      <c r="J168" s="5" t="s">
        <v>26</v>
      </c>
      <c r="K168" t="str">
        <f>Constants!$B$4</f>
        <v>administrator@footballoracle.co.uk</v>
      </c>
      <c r="L168" s="2" t="str">
        <f t="shared" ca="1" si="55"/>
        <v>2014-08-22 08:22:04</v>
      </c>
      <c r="M168" t="str">
        <f t="shared" si="58"/>
        <v>administrator@footballoracle.co.uk</v>
      </c>
      <c r="N168" s="2" t="str">
        <f t="shared" ca="1" si="48"/>
        <v>2014-08-22 08:22:04</v>
      </c>
    </row>
    <row r="169" spans="1:14" x14ac:dyDescent="0.25">
      <c r="A169" t="str">
        <f t="shared" si="59"/>
        <v>6C882A45-CB83-46D9-B3A8-3AF12E31DA69</v>
      </c>
      <c r="B169" t="str">
        <f>Country!A136</f>
        <v>D2AA3253-7518-4F2B-8000-0596BA8B753B</v>
      </c>
      <c r="C169" s="5" t="s">
        <v>232</v>
      </c>
      <c r="D169" t="str">
        <f>OrganisationV!B$17</f>
        <v>83239B57-0F7F-4EA6-BC15-B0213B0B91EC</v>
      </c>
      <c r="E169" t="s">
        <v>2</v>
      </c>
      <c r="F169" t="s">
        <v>2</v>
      </c>
      <c r="G169" s="3" t="str">
        <f t="shared" si="61"/>
        <v>1850-01-01 00:00:00</v>
      </c>
      <c r="H169" s="3" t="str">
        <f t="shared" si="60"/>
        <v>2999-12-31  23:59:59</v>
      </c>
      <c r="I169" s="5" t="s">
        <v>25</v>
      </c>
      <c r="J169" s="5" t="s">
        <v>26</v>
      </c>
      <c r="K169" t="str">
        <f>Constants!$B$4</f>
        <v>administrator@footballoracle.co.uk</v>
      </c>
      <c r="L169" s="2" t="str">
        <f t="shared" ca="1" si="55"/>
        <v>2014-08-22 08:22:04</v>
      </c>
      <c r="M169" t="str">
        <f t="shared" si="58"/>
        <v>administrator@footballoracle.co.uk</v>
      </c>
      <c r="N169" s="2" t="str">
        <f t="shared" ca="1" si="48"/>
        <v>2014-08-22 08:22:04</v>
      </c>
    </row>
    <row r="170" spans="1:14" x14ac:dyDescent="0.25">
      <c r="A170" t="str">
        <f t="shared" si="59"/>
        <v>0CB2FAEE-40B4-4381-9B4D-AB3FA0D89A34</v>
      </c>
      <c r="B170" t="str">
        <f>Country!A137</f>
        <v>E9EE4472-633F-4D22-BFB5-D890857D2402</v>
      </c>
      <c r="C170" s="5" t="s">
        <v>233</v>
      </c>
      <c r="D170" t="str">
        <f>OrganisationV!B$17</f>
        <v>83239B57-0F7F-4EA6-BC15-B0213B0B91EC</v>
      </c>
      <c r="E170" t="s">
        <v>2</v>
      </c>
      <c r="F170" t="s">
        <v>2</v>
      </c>
      <c r="G170" s="3" t="str">
        <f t="shared" si="61"/>
        <v>1850-01-01 00:00:00</v>
      </c>
      <c r="H170" s="3" t="str">
        <f t="shared" si="60"/>
        <v>2999-12-31  23:59:59</v>
      </c>
      <c r="I170" s="5" t="s">
        <v>25</v>
      </c>
      <c r="J170" s="5" t="s">
        <v>26</v>
      </c>
      <c r="K170" t="str">
        <f>Constants!$B$4</f>
        <v>administrator@footballoracle.co.uk</v>
      </c>
      <c r="L170" s="2" t="str">
        <f t="shared" ca="1" si="55"/>
        <v>2014-08-22 08:22:04</v>
      </c>
      <c r="M170" t="str">
        <f t="shared" si="58"/>
        <v>administrator@footballoracle.co.uk</v>
      </c>
      <c r="N170" s="2" t="str">
        <f t="shared" ca="1" si="48"/>
        <v>2014-08-22 08:22:04</v>
      </c>
    </row>
    <row r="171" spans="1:14" x14ac:dyDescent="0.25">
      <c r="A171" t="str">
        <f t="shared" si="59"/>
        <v>4F4F781C-4A36-4065-9FFA-2D61EABA0AB7</v>
      </c>
      <c r="B171" t="str">
        <f>Country!A138</f>
        <v>98CA9876-AE99-4F63-BC96-5ECE51791417</v>
      </c>
      <c r="C171" s="5" t="s">
        <v>234</v>
      </c>
      <c r="D171" t="str">
        <f>OrganisationV!B$17</f>
        <v>83239B57-0F7F-4EA6-BC15-B0213B0B91EC</v>
      </c>
      <c r="E171" t="s">
        <v>2</v>
      </c>
      <c r="F171" t="s">
        <v>2</v>
      </c>
      <c r="G171" s="3" t="str">
        <f t="shared" si="61"/>
        <v>1850-01-01 00:00:00</v>
      </c>
      <c r="H171" s="3" t="str">
        <f t="shared" si="60"/>
        <v>2999-12-31  23:59:59</v>
      </c>
      <c r="I171" s="5" t="s">
        <v>25</v>
      </c>
      <c r="J171" s="5" t="s">
        <v>26</v>
      </c>
      <c r="K171" t="str">
        <f>Constants!$B$4</f>
        <v>administrator@footballoracle.co.uk</v>
      </c>
      <c r="L171" s="2" t="str">
        <f t="shared" ca="1" si="55"/>
        <v>2014-08-22 08:22:04</v>
      </c>
      <c r="M171" t="str">
        <f t="shared" si="58"/>
        <v>administrator@footballoracle.co.uk</v>
      </c>
      <c r="N171" s="2" t="str">
        <f t="shared" ca="1" si="48"/>
        <v>2014-08-22 08:22:04</v>
      </c>
    </row>
    <row r="172" spans="1:14" x14ac:dyDescent="0.25">
      <c r="A172" t="str">
        <f t="shared" si="59"/>
        <v>C746708A-DE3F-4D51-9E27-CFF3C32D9256</v>
      </c>
      <c r="B172" t="str">
        <f>Country!A139</f>
        <v>F8D6B143-A43F-4BE5-83E6-D0102C3CB16B</v>
      </c>
      <c r="C172" s="5" t="s">
        <v>235</v>
      </c>
      <c r="D172" t="str">
        <f>OrganisationV!B$17</f>
        <v>83239B57-0F7F-4EA6-BC15-B0213B0B91EC</v>
      </c>
      <c r="E172" t="s">
        <v>2</v>
      </c>
      <c r="F172" t="s">
        <v>2</v>
      </c>
      <c r="G172" s="3" t="str">
        <f t="shared" si="61"/>
        <v>1850-01-01 00:00:00</v>
      </c>
      <c r="H172" s="3" t="str">
        <f t="shared" si="60"/>
        <v>2999-12-31  23:59:59</v>
      </c>
      <c r="I172" s="5" t="s">
        <v>25</v>
      </c>
      <c r="J172" s="5" t="s">
        <v>26</v>
      </c>
      <c r="K172" t="str">
        <f>Constants!$B$4</f>
        <v>administrator@footballoracle.co.uk</v>
      </c>
      <c r="L172" s="2" t="str">
        <f t="shared" ca="1" si="55"/>
        <v>2014-08-22 08:22:04</v>
      </c>
      <c r="M172" t="str">
        <f t="shared" si="58"/>
        <v>administrator@footballoracle.co.uk</v>
      </c>
      <c r="N172" s="2" t="str">
        <f t="shared" ca="1" si="48"/>
        <v>2014-08-22 08:22:04</v>
      </c>
    </row>
    <row r="173" spans="1:14" x14ac:dyDescent="0.25">
      <c r="A173" t="str">
        <f t="shared" si="59"/>
        <v>AECCBC7C-A81F-4F6B-8F84-E7645AEE8ACD</v>
      </c>
      <c r="B173" t="str">
        <f>Country!A140</f>
        <v>86FB56DB-25D9-4011-9843-AD04722F4B7D</v>
      </c>
      <c r="C173" s="5" t="s">
        <v>236</v>
      </c>
      <c r="D173" t="str">
        <f>OrganisationV!B$17</f>
        <v>83239B57-0F7F-4EA6-BC15-B0213B0B91EC</v>
      </c>
      <c r="E173" t="s">
        <v>2</v>
      </c>
      <c r="F173" t="s">
        <v>2</v>
      </c>
      <c r="G173" s="3" t="str">
        <f t="shared" si="61"/>
        <v>1850-01-01 00:00:00</v>
      </c>
      <c r="H173" s="3" t="str">
        <f t="shared" si="60"/>
        <v>2999-12-31  23:59:59</v>
      </c>
      <c r="I173" s="5" t="s">
        <v>25</v>
      </c>
      <c r="J173" s="5" t="s">
        <v>26</v>
      </c>
      <c r="K173" t="str">
        <f>Constants!$B$4</f>
        <v>administrator@footballoracle.co.uk</v>
      </c>
      <c r="L173" s="2" t="str">
        <f t="shared" ca="1" si="55"/>
        <v>2014-08-22 08:22:04</v>
      </c>
      <c r="M173" t="str">
        <f t="shared" si="58"/>
        <v>administrator@footballoracle.co.uk</v>
      </c>
      <c r="N173" s="2" t="str">
        <f t="shared" ca="1" si="48"/>
        <v>2014-08-22 08:22:04</v>
      </c>
    </row>
    <row r="174" spans="1:14" x14ac:dyDescent="0.25">
      <c r="A174" t="str">
        <f t="shared" si="59"/>
        <v>FCD8CC9F-C637-436C-B55F-E5676A5BFB53</v>
      </c>
      <c r="B174" t="str">
        <f>Country!A141</f>
        <v>F2159552-3908-42E4-8C84-A5EA2D4010C3</v>
      </c>
      <c r="C174" s="5" t="s">
        <v>237</v>
      </c>
      <c r="D174" t="str">
        <f>OrganisationV!B$17</f>
        <v>83239B57-0F7F-4EA6-BC15-B0213B0B91EC</v>
      </c>
      <c r="E174" t="s">
        <v>2</v>
      </c>
      <c r="F174" t="s">
        <v>2</v>
      </c>
      <c r="G174" s="3" t="str">
        <f t="shared" si="61"/>
        <v>1850-01-01 00:00:00</v>
      </c>
      <c r="H174" s="3" t="str">
        <f t="shared" si="60"/>
        <v>2999-12-31  23:59:59</v>
      </c>
      <c r="I174" s="5" t="s">
        <v>25</v>
      </c>
      <c r="J174" s="5" t="s">
        <v>26</v>
      </c>
      <c r="K174" t="str">
        <f>Constants!$B$4</f>
        <v>administrator@footballoracle.co.uk</v>
      </c>
      <c r="L174" s="2" t="str">
        <f t="shared" ca="1" si="55"/>
        <v>2014-08-22 08:22:04</v>
      </c>
      <c r="M174" t="str">
        <f t="shared" si="58"/>
        <v>administrator@footballoracle.co.uk</v>
      </c>
      <c r="N174" s="2" t="str">
        <f t="shared" ca="1" si="48"/>
        <v>2014-08-22 08:22:04</v>
      </c>
    </row>
    <row r="175" spans="1:14" x14ac:dyDescent="0.25">
      <c r="A175" t="str">
        <f t="shared" si="59"/>
        <v>217C5424-A4DF-4010-81EC-7EA9DF404CB7</v>
      </c>
      <c r="B175" t="str">
        <f>Country!A142</f>
        <v>98482AAE-E33F-4DF7-B156-EACC13198478</v>
      </c>
      <c r="C175" s="5" t="s">
        <v>238</v>
      </c>
      <c r="D175" t="str">
        <f>OrganisationV!B$17</f>
        <v>83239B57-0F7F-4EA6-BC15-B0213B0B91EC</v>
      </c>
      <c r="E175" t="s">
        <v>2</v>
      </c>
      <c r="F175" t="s">
        <v>2</v>
      </c>
      <c r="G175" s="3" t="str">
        <f t="shared" si="61"/>
        <v>1850-01-01 00:00:00</v>
      </c>
      <c r="H175" s="3" t="str">
        <f t="shared" si="60"/>
        <v>2999-12-31  23:59:59</v>
      </c>
      <c r="I175" s="5" t="s">
        <v>25</v>
      </c>
      <c r="J175" s="5" t="s">
        <v>26</v>
      </c>
      <c r="K175" t="str">
        <f>Constants!$B$4</f>
        <v>administrator@footballoracle.co.uk</v>
      </c>
      <c r="L175" s="2" t="str">
        <f t="shared" ca="1" si="55"/>
        <v>2014-08-22 08:22:04</v>
      </c>
      <c r="M175" t="str">
        <f t="shared" si="58"/>
        <v>administrator@footballoracle.co.uk</v>
      </c>
      <c r="N175" s="2" t="str">
        <f t="shared" ca="1" si="48"/>
        <v>2014-08-22 08:22:04</v>
      </c>
    </row>
    <row r="176" spans="1:14" x14ac:dyDescent="0.25">
      <c r="A176" t="str">
        <f t="shared" si="59"/>
        <v>7B24EA44-3534-441D-98DF-355E43AB5450</v>
      </c>
      <c r="B176" t="str">
        <f>Country!A143</f>
        <v>1489EF3E-4D6F-4DD8-A526-2A5B8F2F0F56</v>
      </c>
      <c r="C176" s="5" t="s">
        <v>239</v>
      </c>
      <c r="D176" t="str">
        <f>OrganisationV!B$17</f>
        <v>83239B57-0F7F-4EA6-BC15-B0213B0B91EC</v>
      </c>
      <c r="E176" t="s">
        <v>2</v>
      </c>
      <c r="F176" t="s">
        <v>2</v>
      </c>
      <c r="G176" s="3" t="str">
        <f t="shared" si="61"/>
        <v>1850-01-01 00:00:00</v>
      </c>
      <c r="H176" s="3" t="str">
        <f t="shared" si="60"/>
        <v>2999-12-31  23:59:59</v>
      </c>
      <c r="I176" s="5" t="s">
        <v>25</v>
      </c>
      <c r="J176" s="5" t="s">
        <v>26</v>
      </c>
      <c r="K176" t="str">
        <f>Constants!$B$4</f>
        <v>administrator@footballoracle.co.uk</v>
      </c>
      <c r="L176" s="2" t="str">
        <f t="shared" ca="1" si="55"/>
        <v>2014-08-22 08:22:04</v>
      </c>
      <c r="M176" t="str">
        <f t="shared" si="58"/>
        <v>administrator@footballoracle.co.uk</v>
      </c>
      <c r="N176" s="2" t="str">
        <f t="shared" ca="1" si="48"/>
        <v>2014-08-22 08:22:04</v>
      </c>
    </row>
    <row r="177" spans="1:14" x14ac:dyDescent="0.25">
      <c r="A177" t="str">
        <f t="shared" si="59"/>
        <v>999A9137-17F5-4960-B544-6741F4944567</v>
      </c>
      <c r="B177" t="str">
        <f>Country!A144</f>
        <v>DF8A0E07-2F44-4F6F-BD9C-91D666B08B33</v>
      </c>
      <c r="C177" s="5" t="s">
        <v>240</v>
      </c>
      <c r="D177" t="str">
        <f>OrganisationV!B$17</f>
        <v>83239B57-0F7F-4EA6-BC15-B0213B0B91EC</v>
      </c>
      <c r="E177" t="s">
        <v>2</v>
      </c>
      <c r="F177" t="s">
        <v>2</v>
      </c>
      <c r="G177" s="3" t="str">
        <f t="shared" si="61"/>
        <v>1850-01-01 00:00:00</v>
      </c>
      <c r="H177" s="3">
        <v>19883.999988425927</v>
      </c>
      <c r="I177" s="5" t="s">
        <v>25</v>
      </c>
      <c r="J177" s="5" t="s">
        <v>26</v>
      </c>
      <c r="K177" t="str">
        <f>Constants!$B$4</f>
        <v>administrator@footballoracle.co.uk</v>
      </c>
      <c r="L177" s="2" t="str">
        <f t="shared" ca="1" si="55"/>
        <v>2014-08-22 08:22:04</v>
      </c>
      <c r="M177" t="str">
        <f t="shared" si="58"/>
        <v>administrator@footballoracle.co.uk</v>
      </c>
      <c r="N177" s="2" t="str">
        <f t="shared" ca="1" si="48"/>
        <v>2014-08-22 08:22:04</v>
      </c>
    </row>
    <row r="178" spans="1:14" x14ac:dyDescent="0.25">
      <c r="A178" t="str">
        <f t="shared" si="59"/>
        <v>D382A432-BB7D-4563-A045-102D4D268FDF</v>
      </c>
      <c r="B178" t="str">
        <f>B177</f>
        <v>DF8A0E07-2F44-4F6F-BD9C-91D666B08B33</v>
      </c>
      <c r="C178" s="5" t="s">
        <v>241</v>
      </c>
      <c r="D178" t="str">
        <f>OrganisationV!B$17</f>
        <v>83239B57-0F7F-4EA6-BC15-B0213B0B91EC</v>
      </c>
      <c r="E178" t="s">
        <v>2</v>
      </c>
      <c r="F178" t="s">
        <v>2</v>
      </c>
      <c r="G178" s="3">
        <v>19884</v>
      </c>
      <c r="H178" s="3" t="str">
        <f t="shared" ref="H178:H199" si="62">VLOOKUP("highdate",DateConstants,2)</f>
        <v>2999-12-31  23:59:59</v>
      </c>
      <c r="I178" s="5" t="s">
        <v>25</v>
      </c>
      <c r="J178" s="5" t="s">
        <v>26</v>
      </c>
      <c r="K178" t="str">
        <f>Constants!$B$4</f>
        <v>administrator@footballoracle.co.uk</v>
      </c>
      <c r="L178" s="2" t="str">
        <f t="shared" ca="1" si="55"/>
        <v>2014-08-22 08:22:04</v>
      </c>
      <c r="M178" t="str">
        <f t="shared" si="58"/>
        <v>administrator@footballoracle.co.uk</v>
      </c>
      <c r="N178" s="2" t="str">
        <f t="shared" ca="1" si="48"/>
        <v>2014-08-22 08:22:04</v>
      </c>
    </row>
    <row r="179" spans="1:14" x14ac:dyDescent="0.25">
      <c r="A179" t="str">
        <f t="shared" si="59"/>
        <v>206D2314-7FE1-4F0D-BE94-D72E9E989F65</v>
      </c>
      <c r="B179" t="str">
        <f>Country!A145</f>
        <v>4A358FC9-79EF-4D48-B66D-CEBA3750A248</v>
      </c>
      <c r="C179" s="5" t="s">
        <v>242</v>
      </c>
      <c r="D179" t="str">
        <f>OrganisationV!B$17</f>
        <v>83239B57-0F7F-4EA6-BC15-B0213B0B91EC</v>
      </c>
      <c r="E179" t="s">
        <v>2</v>
      </c>
      <c r="F179" t="s">
        <v>2</v>
      </c>
      <c r="G179" s="3" t="str">
        <f t="shared" ref="G179:G200" si="63">VLOOKUP("lowdate",DateConstants,2)</f>
        <v>1850-01-01 00:00:00</v>
      </c>
      <c r="H179" s="3" t="str">
        <f t="shared" si="62"/>
        <v>2999-12-31  23:59:59</v>
      </c>
      <c r="I179" s="5" t="s">
        <v>25</v>
      </c>
      <c r="J179" s="5" t="s">
        <v>26</v>
      </c>
      <c r="K179" t="str">
        <f>Constants!$B$4</f>
        <v>administrator@footballoracle.co.uk</v>
      </c>
      <c r="L179" s="2" t="str">
        <f t="shared" ca="1" si="55"/>
        <v>2014-08-22 08:22:04</v>
      </c>
      <c r="M179" t="str">
        <f t="shared" si="58"/>
        <v>administrator@footballoracle.co.uk</v>
      </c>
      <c r="N179" s="2" t="str">
        <f t="shared" ca="1" si="48"/>
        <v>2014-08-22 08:22:04</v>
      </c>
    </row>
    <row r="180" spans="1:14" x14ac:dyDescent="0.25">
      <c r="A180" t="str">
        <f t="shared" si="59"/>
        <v>4A83456E-C219-40C8-BD13-515ABB37999D</v>
      </c>
      <c r="B180" t="str">
        <f>Country!A146</f>
        <v>7926F202-AFB0-4FEB-9F83-70C554BDE781</v>
      </c>
      <c r="C180" s="5" t="s">
        <v>243</v>
      </c>
      <c r="D180" t="str">
        <f>OrganisationV!B$17</f>
        <v>83239B57-0F7F-4EA6-BC15-B0213B0B91EC</v>
      </c>
      <c r="E180" t="s">
        <v>2</v>
      </c>
      <c r="F180" t="s">
        <v>2</v>
      </c>
      <c r="G180" s="3" t="str">
        <f t="shared" si="63"/>
        <v>1850-01-01 00:00:00</v>
      </c>
      <c r="H180" s="3" t="str">
        <f t="shared" si="62"/>
        <v>2999-12-31  23:59:59</v>
      </c>
      <c r="I180" s="5" t="s">
        <v>25</v>
      </c>
      <c r="J180" s="5" t="s">
        <v>26</v>
      </c>
      <c r="K180" t="str">
        <f>Constants!$B$4</f>
        <v>administrator@footballoracle.co.uk</v>
      </c>
      <c r="L180" s="2" t="str">
        <f t="shared" ca="1" si="55"/>
        <v>2014-08-22 08:22:04</v>
      </c>
      <c r="M180" t="str">
        <f t="shared" si="58"/>
        <v>administrator@footballoracle.co.uk</v>
      </c>
      <c r="N180" s="2" t="str">
        <f t="shared" ca="1" si="48"/>
        <v>2014-08-22 08:22:04</v>
      </c>
    </row>
    <row r="181" spans="1:14" x14ac:dyDescent="0.25">
      <c r="A181" t="str">
        <f t="shared" si="59"/>
        <v>165D6C59-0798-44FE-851E-68C34A01D1EF</v>
      </c>
      <c r="B181" t="str">
        <f>Country!A147</f>
        <v>3DAA302E-2C4A-4540-A48C-210FB0BF8732</v>
      </c>
      <c r="C181" s="5" t="s">
        <v>244</v>
      </c>
      <c r="D181" t="str">
        <f>OrganisationV!B$17</f>
        <v>83239B57-0F7F-4EA6-BC15-B0213B0B91EC</v>
      </c>
      <c r="E181" t="s">
        <v>2</v>
      </c>
      <c r="F181" t="s">
        <v>2</v>
      </c>
      <c r="G181" s="3" t="str">
        <f t="shared" si="63"/>
        <v>1850-01-01 00:00:00</v>
      </c>
      <c r="H181" s="3" t="str">
        <f t="shared" si="62"/>
        <v>2999-12-31  23:59:59</v>
      </c>
      <c r="I181" s="5" t="s">
        <v>25</v>
      </c>
      <c r="J181" s="5" t="s">
        <v>26</v>
      </c>
      <c r="K181" t="str">
        <f>Constants!$B$4</f>
        <v>administrator@footballoracle.co.uk</v>
      </c>
      <c r="L181" s="2" t="str">
        <f t="shared" ca="1" si="55"/>
        <v>2014-08-22 08:22:04</v>
      </c>
      <c r="M181" t="str">
        <f t="shared" si="58"/>
        <v>administrator@footballoracle.co.uk</v>
      </c>
      <c r="N181" s="2" t="str">
        <f t="shared" ca="1" si="48"/>
        <v>2014-08-22 08:22:04</v>
      </c>
    </row>
    <row r="182" spans="1:14" x14ac:dyDescent="0.25">
      <c r="A182" t="str">
        <f t="shared" si="59"/>
        <v>0810B352-057D-4E54-8510-D94F0F75E3A6</v>
      </c>
      <c r="B182" t="str">
        <f>Country!A148</f>
        <v>38C7FC2D-BC24-449B-853E-337983437B77</v>
      </c>
      <c r="C182" s="5" t="s">
        <v>246</v>
      </c>
      <c r="D182" t="str">
        <f>OrganisationV!B$18</f>
        <v>37BD9927-3C41-42F8-A76C-370CB8F202B9</v>
      </c>
      <c r="E182" t="s">
        <v>2</v>
      </c>
      <c r="F182" t="s">
        <v>2</v>
      </c>
      <c r="G182" s="3" t="str">
        <f t="shared" si="63"/>
        <v>1850-01-01 00:00:00</v>
      </c>
      <c r="H182" s="3" t="str">
        <f t="shared" si="62"/>
        <v>2999-12-31  23:59:59</v>
      </c>
      <c r="I182" s="5" t="s">
        <v>25</v>
      </c>
      <c r="J182" s="5" t="s">
        <v>26</v>
      </c>
      <c r="K182" t="str">
        <f>Constants!$B$4</f>
        <v>administrator@footballoracle.co.uk</v>
      </c>
      <c r="L182" s="2" t="str">
        <f t="shared" ca="1" si="55"/>
        <v>2014-08-22 08:22:04</v>
      </c>
      <c r="M182" t="str">
        <f t="shared" ref="M182:M191" si="64">K182</f>
        <v>administrator@footballoracle.co.uk</v>
      </c>
      <c r="N182" s="2" t="str">
        <f t="shared" ca="1" si="48"/>
        <v>2014-08-22 08:22:04</v>
      </c>
    </row>
    <row r="183" spans="1:14" x14ac:dyDescent="0.25">
      <c r="A183" t="str">
        <f t="shared" ref="A183:A198" si="65">GetGuid()</f>
        <v>23C76A8B-99DA-4A7D-B6C3-97A7F4C62449</v>
      </c>
      <c r="B183" t="str">
        <f>Country!A149</f>
        <v>F85D271D-11A6-40FE-9615-216F27DB79DC</v>
      </c>
      <c r="C183" s="5" t="s">
        <v>247</v>
      </c>
      <c r="D183" t="str">
        <f>OrganisationV!B$18</f>
        <v>37BD9927-3C41-42F8-A76C-370CB8F202B9</v>
      </c>
      <c r="E183" t="s">
        <v>2</v>
      </c>
      <c r="F183" t="s">
        <v>2</v>
      </c>
      <c r="G183" s="3" t="str">
        <f t="shared" si="63"/>
        <v>1850-01-01 00:00:00</v>
      </c>
      <c r="H183" s="3" t="str">
        <f t="shared" si="62"/>
        <v>2999-12-31  23:59:59</v>
      </c>
      <c r="I183" s="5" t="s">
        <v>25</v>
      </c>
      <c r="J183" s="5" t="s">
        <v>26</v>
      </c>
      <c r="K183" t="str">
        <f>Constants!$B$4</f>
        <v>administrator@footballoracle.co.uk</v>
      </c>
      <c r="L183" s="2" t="str">
        <f t="shared" ca="1" si="55"/>
        <v>2014-08-22 08:22:04</v>
      </c>
      <c r="M183" t="str">
        <f t="shared" si="64"/>
        <v>administrator@footballoracle.co.uk</v>
      </c>
      <c r="N183" s="2" t="str">
        <f t="shared" ca="1" si="48"/>
        <v>2014-08-22 08:22:04</v>
      </c>
    </row>
    <row r="184" spans="1:14" x14ac:dyDescent="0.25">
      <c r="A184" t="str">
        <f t="shared" si="65"/>
        <v>7B267E5E-E1C5-46EA-B4D0-E1DD6AE79FD8</v>
      </c>
      <c r="B184" t="str">
        <f>Country!A150</f>
        <v>F4B5C425-917F-4E0A-A7C8-E1F2AB096FDF</v>
      </c>
      <c r="C184" s="5" t="s">
        <v>248</v>
      </c>
      <c r="D184" t="str">
        <f>OrganisationV!B$18</f>
        <v>37BD9927-3C41-42F8-A76C-370CB8F202B9</v>
      </c>
      <c r="E184" t="s">
        <v>2</v>
      </c>
      <c r="F184" t="s">
        <v>2</v>
      </c>
      <c r="G184" s="3" t="str">
        <f t="shared" si="63"/>
        <v>1850-01-01 00:00:00</v>
      </c>
      <c r="H184" s="3" t="str">
        <f t="shared" si="62"/>
        <v>2999-12-31  23:59:59</v>
      </c>
      <c r="I184" s="5" t="s">
        <v>25</v>
      </c>
      <c r="J184" s="5" t="s">
        <v>26</v>
      </c>
      <c r="K184" t="str">
        <f>Constants!$B$4</f>
        <v>administrator@footballoracle.co.uk</v>
      </c>
      <c r="L184" s="2" t="str">
        <f t="shared" ca="1" si="55"/>
        <v>2014-08-22 08:22:04</v>
      </c>
      <c r="M184" t="str">
        <f t="shared" si="64"/>
        <v>administrator@footballoracle.co.uk</v>
      </c>
      <c r="N184" s="2" t="str">
        <f t="shared" ca="1" si="48"/>
        <v>2014-08-22 08:22:04</v>
      </c>
    </row>
    <row r="185" spans="1:14" x14ac:dyDescent="0.25">
      <c r="A185" t="str">
        <f t="shared" si="65"/>
        <v>3EEB1D0A-1D97-474D-B8A8-3A8DC2384C90</v>
      </c>
      <c r="B185" t="str">
        <f>Country!A151</f>
        <v>CD79DBA6-4DE6-4268-AB4F-B3423E19453D</v>
      </c>
      <c r="C185" s="5" t="s">
        <v>249</v>
      </c>
      <c r="D185" t="str">
        <f>OrganisationV!B$18</f>
        <v>37BD9927-3C41-42F8-A76C-370CB8F202B9</v>
      </c>
      <c r="E185" t="s">
        <v>2</v>
      </c>
      <c r="F185" t="s">
        <v>2</v>
      </c>
      <c r="G185" s="3" t="str">
        <f t="shared" si="63"/>
        <v>1850-01-01 00:00:00</v>
      </c>
      <c r="H185" s="3" t="str">
        <f t="shared" si="62"/>
        <v>2999-12-31  23:59:59</v>
      </c>
      <c r="I185" s="5" t="s">
        <v>25</v>
      </c>
      <c r="J185" s="5" t="s">
        <v>26</v>
      </c>
      <c r="K185" t="str">
        <f>Constants!$B$4</f>
        <v>administrator@footballoracle.co.uk</v>
      </c>
      <c r="L185" s="2" t="str">
        <f t="shared" ca="1" si="55"/>
        <v>2014-08-22 08:22:04</v>
      </c>
      <c r="M185" t="str">
        <f t="shared" si="64"/>
        <v>administrator@footballoracle.co.uk</v>
      </c>
      <c r="N185" s="2" t="str">
        <f t="shared" ca="1" si="48"/>
        <v>2014-08-22 08:22:04</v>
      </c>
    </row>
    <row r="186" spans="1:14" x14ac:dyDescent="0.25">
      <c r="A186" t="str">
        <f t="shared" si="65"/>
        <v>1FF9D520-A24B-44F7-A361-611AEF911CE1</v>
      </c>
      <c r="B186" t="str">
        <f>Country!A152</f>
        <v>E23BB87D-CF04-41F2-95F2-F112CF187CF3</v>
      </c>
      <c r="C186" s="5" t="s">
        <v>250</v>
      </c>
      <c r="D186" t="str">
        <f>OrganisationV!B$18</f>
        <v>37BD9927-3C41-42F8-A76C-370CB8F202B9</v>
      </c>
      <c r="E186" t="s">
        <v>2</v>
      </c>
      <c r="F186" t="s">
        <v>2</v>
      </c>
      <c r="G186" s="3" t="str">
        <f t="shared" si="63"/>
        <v>1850-01-01 00:00:00</v>
      </c>
      <c r="H186" s="3" t="str">
        <f t="shared" si="62"/>
        <v>2999-12-31  23:59:59</v>
      </c>
      <c r="I186" s="5" t="s">
        <v>25</v>
      </c>
      <c r="J186" s="5" t="s">
        <v>26</v>
      </c>
      <c r="K186" t="str">
        <f>Constants!$B$4</f>
        <v>administrator@footballoracle.co.uk</v>
      </c>
      <c r="L186" s="2" t="str">
        <f t="shared" ca="1" si="55"/>
        <v>2014-08-22 08:22:04</v>
      </c>
      <c r="M186" t="str">
        <f t="shared" si="64"/>
        <v>administrator@footballoracle.co.uk</v>
      </c>
      <c r="N186" s="2" t="str">
        <f t="shared" ca="1" si="48"/>
        <v>2014-08-22 08:22:04</v>
      </c>
    </row>
    <row r="187" spans="1:14" x14ac:dyDescent="0.25">
      <c r="A187" t="str">
        <f t="shared" si="65"/>
        <v>4EF04267-93D9-4645-9F37-76CD1D40C290</v>
      </c>
      <c r="B187" t="str">
        <f>Country!A153</f>
        <v>96E345BB-73DA-4423-A3C4-5DE4048AB824</v>
      </c>
      <c r="C187" s="5" t="s">
        <v>251</v>
      </c>
      <c r="D187" t="str">
        <f>OrganisationV!B$18</f>
        <v>37BD9927-3C41-42F8-A76C-370CB8F202B9</v>
      </c>
      <c r="E187" t="s">
        <v>2</v>
      </c>
      <c r="F187" t="s">
        <v>2</v>
      </c>
      <c r="G187" s="3" t="str">
        <f t="shared" si="63"/>
        <v>1850-01-01 00:00:00</v>
      </c>
      <c r="H187" s="3" t="str">
        <f t="shared" si="62"/>
        <v>2999-12-31  23:59:59</v>
      </c>
      <c r="I187" s="5" t="s">
        <v>25</v>
      </c>
      <c r="J187" s="5" t="s">
        <v>26</v>
      </c>
      <c r="K187" t="str">
        <f>Constants!$B$4</f>
        <v>administrator@footballoracle.co.uk</v>
      </c>
      <c r="L187" s="2" t="str">
        <f t="shared" ca="1" si="55"/>
        <v>2014-08-22 08:22:04</v>
      </c>
      <c r="M187" t="str">
        <f t="shared" si="64"/>
        <v>administrator@footballoracle.co.uk</v>
      </c>
      <c r="N187" s="2" t="str">
        <f t="shared" ca="1" si="48"/>
        <v>2014-08-22 08:22:04</v>
      </c>
    </row>
    <row r="188" spans="1:14" x14ac:dyDescent="0.25">
      <c r="A188" t="str">
        <f t="shared" si="65"/>
        <v>D3410318-B10C-4E3A-8B49-AA273706BAC5</v>
      </c>
      <c r="B188" t="str">
        <f>Country!A154</f>
        <v>A8811D0C-BB13-49AB-8B11-B21F0377C1E6</v>
      </c>
      <c r="C188" s="5" t="s">
        <v>252</v>
      </c>
      <c r="D188" t="str">
        <f>OrganisationV!B$18</f>
        <v>37BD9927-3C41-42F8-A76C-370CB8F202B9</v>
      </c>
      <c r="E188" t="s">
        <v>2</v>
      </c>
      <c r="F188" t="s">
        <v>2</v>
      </c>
      <c r="G188" s="3" t="str">
        <f t="shared" si="63"/>
        <v>1850-01-01 00:00:00</v>
      </c>
      <c r="H188" s="3" t="str">
        <f t="shared" si="62"/>
        <v>2999-12-31  23:59:59</v>
      </c>
      <c r="I188" s="5" t="s">
        <v>25</v>
      </c>
      <c r="J188" s="5" t="s">
        <v>26</v>
      </c>
      <c r="K188" t="str">
        <f>Constants!$B$4</f>
        <v>administrator@footballoracle.co.uk</v>
      </c>
      <c r="L188" s="2" t="str">
        <f t="shared" ca="1" si="55"/>
        <v>2014-08-22 08:22:04</v>
      </c>
      <c r="M188" t="str">
        <f t="shared" si="64"/>
        <v>administrator@footballoracle.co.uk</v>
      </c>
      <c r="N188" s="2" t="str">
        <f t="shared" ca="1" si="48"/>
        <v>2014-08-22 08:22:04</v>
      </c>
    </row>
    <row r="189" spans="1:14" x14ac:dyDescent="0.25">
      <c r="A189" t="str">
        <f t="shared" si="65"/>
        <v>F01E4F0E-F220-4B73-B232-7AD4D85A1BD2</v>
      </c>
      <c r="B189" t="str">
        <f>Country!A155</f>
        <v>92A01552-890E-459C-B5CB-58D22C16C28E</v>
      </c>
      <c r="C189" s="5" t="s">
        <v>253</v>
      </c>
      <c r="D189" t="str">
        <f>OrganisationV!B$18</f>
        <v>37BD9927-3C41-42F8-A76C-370CB8F202B9</v>
      </c>
      <c r="E189" t="s">
        <v>2</v>
      </c>
      <c r="F189" t="s">
        <v>2</v>
      </c>
      <c r="G189" s="3" t="str">
        <f t="shared" si="63"/>
        <v>1850-01-01 00:00:00</v>
      </c>
      <c r="H189" s="3" t="str">
        <f t="shared" si="62"/>
        <v>2999-12-31  23:59:59</v>
      </c>
      <c r="I189" s="5" t="s">
        <v>25</v>
      </c>
      <c r="J189" s="5" t="s">
        <v>26</v>
      </c>
      <c r="K189" t="str">
        <f>Constants!$B$4</f>
        <v>administrator@footballoracle.co.uk</v>
      </c>
      <c r="L189" s="2" t="str">
        <f t="shared" ca="1" si="55"/>
        <v>2014-08-22 08:22:04</v>
      </c>
      <c r="M189" t="str">
        <f t="shared" si="64"/>
        <v>administrator@footballoracle.co.uk</v>
      </c>
      <c r="N189" s="2" t="str">
        <f t="shared" ca="1" si="48"/>
        <v>2014-08-22 08:22:04</v>
      </c>
    </row>
    <row r="190" spans="1:14" x14ac:dyDescent="0.25">
      <c r="A190" t="str">
        <f t="shared" si="65"/>
        <v>BDFB1FE6-A135-496C-B445-48D3ADAB7AA5</v>
      </c>
      <c r="B190" t="str">
        <f>Country!A156</f>
        <v>1EA100FF-8494-492A-9A9A-ABC411030724</v>
      </c>
      <c r="C190" s="5" t="s">
        <v>254</v>
      </c>
      <c r="D190" t="str">
        <f>OrganisationV!B$18</f>
        <v>37BD9927-3C41-42F8-A76C-370CB8F202B9</v>
      </c>
      <c r="E190" t="s">
        <v>2</v>
      </c>
      <c r="F190" t="s">
        <v>2</v>
      </c>
      <c r="G190" s="3" t="str">
        <f t="shared" si="63"/>
        <v>1850-01-01 00:00:00</v>
      </c>
      <c r="H190" s="3" t="str">
        <f t="shared" si="62"/>
        <v>2999-12-31  23:59:59</v>
      </c>
      <c r="I190" s="5" t="s">
        <v>25</v>
      </c>
      <c r="J190" s="5" t="s">
        <v>26</v>
      </c>
      <c r="K190" t="str">
        <f>Constants!$B$4</f>
        <v>administrator@footballoracle.co.uk</v>
      </c>
      <c r="L190" s="2" t="str">
        <f t="shared" ca="1" si="55"/>
        <v>2014-08-22 08:22:04</v>
      </c>
      <c r="M190" t="str">
        <f t="shared" si="64"/>
        <v>administrator@footballoracle.co.uk</v>
      </c>
      <c r="N190" s="2" t="str">
        <f t="shared" ca="1" si="48"/>
        <v>2014-08-22 08:22:04</v>
      </c>
    </row>
    <row r="191" spans="1:14" x14ac:dyDescent="0.25">
      <c r="A191" t="str">
        <f t="shared" si="65"/>
        <v>56404075-6C99-4BE9-B6D7-5B5EFDC2BEB2</v>
      </c>
      <c r="B191" t="str">
        <f>Country!A157</f>
        <v>1D191E4F-3064-4283-AC09-D663A56DACAF</v>
      </c>
      <c r="C191" s="5" t="s">
        <v>255</v>
      </c>
      <c r="D191" t="str">
        <f>OrganisationV!B$18</f>
        <v>37BD9927-3C41-42F8-A76C-370CB8F202B9</v>
      </c>
      <c r="E191" t="s">
        <v>2</v>
      </c>
      <c r="F191" t="s">
        <v>2</v>
      </c>
      <c r="G191" s="3" t="str">
        <f t="shared" si="63"/>
        <v>1850-01-01 00:00:00</v>
      </c>
      <c r="H191" s="3" t="str">
        <f t="shared" si="62"/>
        <v>2999-12-31  23:59:59</v>
      </c>
      <c r="I191" s="5" t="s">
        <v>25</v>
      </c>
      <c r="J191" s="5" t="s">
        <v>26</v>
      </c>
      <c r="K191" t="str">
        <f>Constants!$B$4</f>
        <v>administrator@footballoracle.co.uk</v>
      </c>
      <c r="L191" s="2" t="str">
        <f t="shared" ca="1" si="55"/>
        <v>2014-08-22 08:22:04</v>
      </c>
      <c r="M191" t="str">
        <f t="shared" si="64"/>
        <v>administrator@footballoracle.co.uk</v>
      </c>
      <c r="N191" s="2" t="str">
        <f t="shared" ca="1" si="48"/>
        <v>2014-08-22 08:22:04</v>
      </c>
    </row>
    <row r="192" spans="1:14" x14ac:dyDescent="0.25">
      <c r="A192" t="str">
        <f t="shared" si="65"/>
        <v>4EC0DCC7-43C5-4CE2-AFB3-9A3305B3E219</v>
      </c>
      <c r="B192" t="str">
        <f>Country!A158</f>
        <v>8DD1C8A8-31CF-429E-96DD-FD20349E379C</v>
      </c>
      <c r="C192" s="5" t="s">
        <v>257</v>
      </c>
      <c r="D192" t="str">
        <f>OrganisationV!B$19</f>
        <v>543B02BB-898C-449F-8038-51780A2938F2</v>
      </c>
      <c r="E192" t="s">
        <v>2</v>
      </c>
      <c r="F192" t="s">
        <v>2</v>
      </c>
      <c r="G192" s="3" t="str">
        <f t="shared" si="63"/>
        <v>1850-01-01 00:00:00</v>
      </c>
      <c r="H192" s="3" t="str">
        <f t="shared" si="62"/>
        <v>2999-12-31  23:59:59</v>
      </c>
      <c r="I192" s="5" t="s">
        <v>25</v>
      </c>
      <c r="J192" s="5" t="s">
        <v>26</v>
      </c>
      <c r="K192" t="str">
        <f>Constants!$B$4</f>
        <v>administrator@footballoracle.co.uk</v>
      </c>
      <c r="L192" s="2" t="str">
        <f t="shared" ca="1" si="55"/>
        <v>2014-08-22 08:22:04</v>
      </c>
      <c r="M192" t="str">
        <f t="shared" ref="M192" si="66">K192</f>
        <v>administrator@footballoracle.co.uk</v>
      </c>
      <c r="N192" s="2" t="str">
        <f t="shared" ca="1" si="48"/>
        <v>2014-08-22 08:22:04</v>
      </c>
    </row>
    <row r="193" spans="1:14" x14ac:dyDescent="0.25">
      <c r="A193" t="str">
        <f t="shared" si="65"/>
        <v>7DA6C6C3-30BB-4299-86A2-E843D11E1D79</v>
      </c>
      <c r="B193" t="str">
        <f>Country!A159</f>
        <v>CAAC0268-BC28-4AEA-A080-06F92648102A</v>
      </c>
      <c r="C193" s="5" t="s">
        <v>258</v>
      </c>
      <c r="D193" t="str">
        <f>OrganisationV!B$19</f>
        <v>543B02BB-898C-449F-8038-51780A2938F2</v>
      </c>
      <c r="E193" t="s">
        <v>2</v>
      </c>
      <c r="F193" t="s">
        <v>2</v>
      </c>
      <c r="G193" s="3" t="str">
        <f t="shared" si="63"/>
        <v>1850-01-01 00:00:00</v>
      </c>
      <c r="H193" s="3" t="str">
        <f t="shared" si="62"/>
        <v>2999-12-31  23:59:59</v>
      </c>
      <c r="I193" s="5" t="s">
        <v>25</v>
      </c>
      <c r="J193" s="5" t="s">
        <v>26</v>
      </c>
      <c r="K193" t="str">
        <f>Constants!$B$4</f>
        <v>administrator@footballoracle.co.uk</v>
      </c>
      <c r="L193" s="2" t="str">
        <f t="shared" ca="1" si="55"/>
        <v>2014-08-22 08:22:04</v>
      </c>
      <c r="M193" t="str">
        <f t="shared" ref="M193:M207" si="67">K193</f>
        <v>administrator@footballoracle.co.uk</v>
      </c>
      <c r="N193" s="2" t="str">
        <f t="shared" ca="1" si="48"/>
        <v>2014-08-22 08:22:04</v>
      </c>
    </row>
    <row r="194" spans="1:14" x14ac:dyDescent="0.25">
      <c r="A194" t="str">
        <f t="shared" si="65"/>
        <v>1CF62D1C-D8AB-4D80-B471-20018B75D0B1</v>
      </c>
      <c r="B194" t="str">
        <f>Country!A160</f>
        <v>30DD23A4-8A35-4184-B598-55BCA4EDEB29</v>
      </c>
      <c r="C194" s="5" t="s">
        <v>259</v>
      </c>
      <c r="D194" t="str">
        <f>OrganisationV!B$19</f>
        <v>543B02BB-898C-449F-8038-51780A2938F2</v>
      </c>
      <c r="E194" t="s">
        <v>2</v>
      </c>
      <c r="F194" t="s">
        <v>2</v>
      </c>
      <c r="G194" s="3" t="str">
        <f t="shared" si="63"/>
        <v>1850-01-01 00:00:00</v>
      </c>
      <c r="H194" s="3" t="str">
        <f t="shared" si="62"/>
        <v>2999-12-31  23:59:59</v>
      </c>
      <c r="I194" s="5" t="s">
        <v>25</v>
      </c>
      <c r="J194" s="5" t="s">
        <v>26</v>
      </c>
      <c r="K194" t="str">
        <f>Constants!$B$4</f>
        <v>administrator@footballoracle.co.uk</v>
      </c>
      <c r="L194" s="2" t="str">
        <f t="shared" ca="1" si="55"/>
        <v>2014-08-22 08:22:04</v>
      </c>
      <c r="M194" t="str">
        <f t="shared" si="67"/>
        <v>administrator@footballoracle.co.uk</v>
      </c>
      <c r="N194" s="2" t="str">
        <f t="shared" ref="N194:N257" ca="1" si="68">TEXT(NOW(), "yyyy-MM-dd hh:mm:ss")</f>
        <v>2014-08-22 08:22:04</v>
      </c>
    </row>
    <row r="195" spans="1:14" x14ac:dyDescent="0.25">
      <c r="A195" t="str">
        <f t="shared" si="65"/>
        <v>19BA5E01-F968-43C3-A465-C79D52E74C9B</v>
      </c>
      <c r="B195" t="str">
        <f>Country!A161</f>
        <v>76989FE1-9515-4F93-8B50-993311EFBDE2</v>
      </c>
      <c r="C195" s="5" t="s">
        <v>260</v>
      </c>
      <c r="D195" t="str">
        <f>OrganisationV!B$19</f>
        <v>543B02BB-898C-449F-8038-51780A2938F2</v>
      </c>
      <c r="E195" t="s">
        <v>2</v>
      </c>
      <c r="F195" t="s">
        <v>2</v>
      </c>
      <c r="G195" s="3" t="str">
        <f t="shared" si="63"/>
        <v>1850-01-01 00:00:00</v>
      </c>
      <c r="H195" s="3" t="str">
        <f t="shared" si="62"/>
        <v>2999-12-31  23:59:59</v>
      </c>
      <c r="I195" s="5" t="s">
        <v>25</v>
      </c>
      <c r="J195" s="5" t="s">
        <v>26</v>
      </c>
      <c r="K195" t="str">
        <f>Constants!$B$4</f>
        <v>administrator@footballoracle.co.uk</v>
      </c>
      <c r="L195" s="2" t="str">
        <f t="shared" ca="1" si="55"/>
        <v>2014-08-22 08:22:04</v>
      </c>
      <c r="M195" t="str">
        <f t="shared" si="67"/>
        <v>administrator@footballoracle.co.uk</v>
      </c>
      <c r="N195" s="2" t="str">
        <f t="shared" ca="1" si="68"/>
        <v>2014-08-22 08:22:04</v>
      </c>
    </row>
    <row r="196" spans="1:14" x14ac:dyDescent="0.25">
      <c r="A196" t="str">
        <f t="shared" si="65"/>
        <v>3B39D0F4-0848-4D4C-B31D-9F7E64CBDEF7</v>
      </c>
      <c r="B196" t="str">
        <f>Country!A162</f>
        <v>09DEDDFD-8711-4B4A-81D1-A23EDF63BFA5</v>
      </c>
      <c r="C196" s="5" t="s">
        <v>261</v>
      </c>
      <c r="D196" t="str">
        <f>OrganisationV!B$19</f>
        <v>543B02BB-898C-449F-8038-51780A2938F2</v>
      </c>
      <c r="E196" t="s">
        <v>2</v>
      </c>
      <c r="F196" t="s">
        <v>2</v>
      </c>
      <c r="G196" s="3" t="str">
        <f t="shared" si="63"/>
        <v>1850-01-01 00:00:00</v>
      </c>
      <c r="H196" s="3" t="str">
        <f t="shared" si="62"/>
        <v>2999-12-31  23:59:59</v>
      </c>
      <c r="I196" s="5" t="s">
        <v>25</v>
      </c>
      <c r="J196" s="5" t="s">
        <v>26</v>
      </c>
      <c r="K196" t="str">
        <f>Constants!$B$4</f>
        <v>administrator@footballoracle.co.uk</v>
      </c>
      <c r="L196" s="2" t="str">
        <f t="shared" ca="1" si="55"/>
        <v>2014-08-22 08:22:04</v>
      </c>
      <c r="M196" t="str">
        <f t="shared" si="67"/>
        <v>administrator@footballoracle.co.uk</v>
      </c>
      <c r="N196" s="2" t="str">
        <f t="shared" ca="1" si="68"/>
        <v>2014-08-22 08:22:04</v>
      </c>
    </row>
    <row r="197" spans="1:14" x14ac:dyDescent="0.25">
      <c r="A197" t="str">
        <f t="shared" si="65"/>
        <v>9C118E55-1285-41B2-8D0E-375D78961FFD</v>
      </c>
      <c r="B197" t="str">
        <f>Country!A163</f>
        <v>00428AFA-2E4B-4451-A3EC-9AAD23CFB311</v>
      </c>
      <c r="C197" s="5" t="s">
        <v>262</v>
      </c>
      <c r="D197" t="str">
        <f>OrganisationV!B$19</f>
        <v>543B02BB-898C-449F-8038-51780A2938F2</v>
      </c>
      <c r="E197" t="s">
        <v>2</v>
      </c>
      <c r="F197" t="s">
        <v>2</v>
      </c>
      <c r="G197" s="3" t="str">
        <f t="shared" si="63"/>
        <v>1850-01-01 00:00:00</v>
      </c>
      <c r="H197" s="3" t="str">
        <f t="shared" si="62"/>
        <v>2999-12-31  23:59:59</v>
      </c>
      <c r="I197" s="5" t="s">
        <v>25</v>
      </c>
      <c r="J197" s="5" t="s">
        <v>26</v>
      </c>
      <c r="K197" t="str">
        <f>Constants!$B$4</f>
        <v>administrator@footballoracle.co.uk</v>
      </c>
      <c r="L197" s="2" t="str">
        <f t="shared" ca="1" si="55"/>
        <v>2014-08-22 08:22:04</v>
      </c>
      <c r="M197" t="str">
        <f t="shared" si="67"/>
        <v>administrator@footballoracle.co.uk</v>
      </c>
      <c r="N197" s="2" t="str">
        <f t="shared" ca="1" si="68"/>
        <v>2014-08-22 08:22:04</v>
      </c>
    </row>
    <row r="198" spans="1:14" x14ac:dyDescent="0.25">
      <c r="A198" t="str">
        <f t="shared" si="65"/>
        <v>429581FE-6F31-4E24-9A35-64205810FCDD</v>
      </c>
      <c r="B198" t="str">
        <f>Country!A164</f>
        <v>C5496CE7-867C-4996-82C4-DE80A1410C0C</v>
      </c>
      <c r="C198" s="5" t="s">
        <v>263</v>
      </c>
      <c r="D198" t="str">
        <f>OrganisationV!B$19</f>
        <v>543B02BB-898C-449F-8038-51780A2938F2</v>
      </c>
      <c r="E198" t="s">
        <v>2</v>
      </c>
      <c r="F198" t="s">
        <v>2</v>
      </c>
      <c r="G198" s="3" t="str">
        <f t="shared" si="63"/>
        <v>1850-01-01 00:00:00</v>
      </c>
      <c r="H198" s="3" t="str">
        <f t="shared" si="62"/>
        <v>2999-12-31  23:59:59</v>
      </c>
      <c r="I198" s="5" t="s">
        <v>25</v>
      </c>
      <c r="J198" s="5" t="s">
        <v>26</v>
      </c>
      <c r="K198" t="str">
        <f>Constants!$B$4</f>
        <v>administrator@footballoracle.co.uk</v>
      </c>
      <c r="L198" s="2" t="str">
        <f t="shared" ca="1" si="55"/>
        <v>2014-08-22 08:22:04</v>
      </c>
      <c r="M198" t="str">
        <f t="shared" si="67"/>
        <v>administrator@footballoracle.co.uk</v>
      </c>
      <c r="N198" s="2" t="str">
        <f t="shared" ca="1" si="68"/>
        <v>2014-08-22 08:22:04</v>
      </c>
    </row>
    <row r="199" spans="1:14" x14ac:dyDescent="0.25">
      <c r="A199" t="str">
        <f t="shared" ref="A199:A214" si="69">GetGuid()</f>
        <v>3CB70B73-9221-4EC0-B21F-33A3956F4ED9</v>
      </c>
      <c r="B199" t="str">
        <f>Country!A165</f>
        <v>2D89C345-7691-4503-A57B-42418C389142</v>
      </c>
      <c r="C199" s="5" t="s">
        <v>264</v>
      </c>
      <c r="D199" t="str">
        <f>OrganisationV!B$19</f>
        <v>543B02BB-898C-449F-8038-51780A2938F2</v>
      </c>
      <c r="E199" t="s">
        <v>2</v>
      </c>
      <c r="F199" t="s">
        <v>2</v>
      </c>
      <c r="G199" s="3" t="str">
        <f t="shared" si="63"/>
        <v>1850-01-01 00:00:00</v>
      </c>
      <c r="H199" s="3" t="str">
        <f t="shared" si="62"/>
        <v>2999-12-31  23:59:59</v>
      </c>
      <c r="I199" s="5" t="s">
        <v>25</v>
      </c>
      <c r="J199" s="5" t="s">
        <v>26</v>
      </c>
      <c r="K199" t="str">
        <f>Constants!$B$4</f>
        <v>administrator@footballoracle.co.uk</v>
      </c>
      <c r="L199" s="2" t="str">
        <f t="shared" ca="1" si="55"/>
        <v>2014-08-22 08:22:04</v>
      </c>
      <c r="M199" t="str">
        <f t="shared" si="67"/>
        <v>administrator@footballoracle.co.uk</v>
      </c>
      <c r="N199" s="2" t="str">
        <f t="shared" ca="1" si="68"/>
        <v>2014-08-22 08:22:04</v>
      </c>
    </row>
    <row r="200" spans="1:14" x14ac:dyDescent="0.25">
      <c r="A200" t="str">
        <f t="shared" si="69"/>
        <v>7FD74C33-C89F-4D8E-B6C8-96EFE030DB1A</v>
      </c>
      <c r="B200" t="str">
        <f>Country!A166</f>
        <v>675E7335-34B1-42ED-8C67-833A14E27912</v>
      </c>
      <c r="C200" s="5" t="s">
        <v>265</v>
      </c>
      <c r="D200" t="str">
        <f>OrganisationV!B$19</f>
        <v>543B02BB-898C-449F-8038-51780A2938F2</v>
      </c>
      <c r="E200" t="s">
        <v>2</v>
      </c>
      <c r="F200" t="s">
        <v>2</v>
      </c>
      <c r="G200" s="3" t="str">
        <f t="shared" si="63"/>
        <v>1850-01-01 00:00:00</v>
      </c>
      <c r="H200" s="3">
        <v>35224.999988425923</v>
      </c>
      <c r="I200" s="5" t="s">
        <v>25</v>
      </c>
      <c r="J200" s="5" t="s">
        <v>26</v>
      </c>
      <c r="K200" t="str">
        <f>Constants!$B$4</f>
        <v>administrator@footballoracle.co.uk</v>
      </c>
      <c r="L200" s="2" t="str">
        <f t="shared" ca="1" si="55"/>
        <v>2014-08-22 08:22:04</v>
      </c>
      <c r="M200" t="str">
        <f t="shared" si="67"/>
        <v>administrator@footballoracle.co.uk</v>
      </c>
      <c r="N200" s="2" t="str">
        <f t="shared" ca="1" si="68"/>
        <v>2014-08-22 08:22:04</v>
      </c>
    </row>
    <row r="201" spans="1:14" x14ac:dyDescent="0.25">
      <c r="A201" t="str">
        <f t="shared" si="69"/>
        <v>5E4BAF48-8097-4C4B-BE1B-1AC6CD31543F</v>
      </c>
      <c r="B201" t="str">
        <f>B200</f>
        <v>675E7335-34B1-42ED-8C67-833A14E27912</v>
      </c>
      <c r="C201" s="5" t="s">
        <v>266</v>
      </c>
      <c r="D201" t="str">
        <f>OrganisationV!B$19</f>
        <v>543B02BB-898C-449F-8038-51780A2938F2</v>
      </c>
      <c r="E201" t="s">
        <v>2</v>
      </c>
      <c r="F201" t="s">
        <v>2</v>
      </c>
      <c r="G201" s="3">
        <v>35225</v>
      </c>
      <c r="H201" s="3" t="str">
        <f>VLOOKUP("highdate",DateConstants,2)</f>
        <v>2999-12-31  23:59:59</v>
      </c>
      <c r="I201" s="5" t="s">
        <v>25</v>
      </c>
      <c r="J201" s="5" t="s">
        <v>26</v>
      </c>
      <c r="K201" t="str">
        <f>Constants!$B$4</f>
        <v>administrator@footballoracle.co.uk</v>
      </c>
      <c r="L201" s="2" t="str">
        <f t="shared" ca="1" si="55"/>
        <v>2014-08-22 08:22:04</v>
      </c>
      <c r="M201" t="str">
        <f t="shared" si="67"/>
        <v>administrator@footballoracle.co.uk</v>
      </c>
      <c r="N201" s="2" t="str">
        <f t="shared" ca="1" si="68"/>
        <v>2014-08-22 08:22:04</v>
      </c>
    </row>
    <row r="202" spans="1:14" x14ac:dyDescent="0.25">
      <c r="A202" t="str">
        <f t="shared" si="69"/>
        <v>F7E3599E-B3D0-44B1-8052-99DD9DE79738</v>
      </c>
      <c r="B202" t="str">
        <f>Country!A167</f>
        <v>9A9E9CC5-D780-43CC-9EC4-0CFDC9FA0FB5</v>
      </c>
      <c r="C202" s="5" t="s">
        <v>267</v>
      </c>
      <c r="D202" t="str">
        <f>OrganisationV!B$19</f>
        <v>543B02BB-898C-449F-8038-51780A2938F2</v>
      </c>
      <c r="E202" t="s">
        <v>2</v>
      </c>
      <c r="F202" t="s">
        <v>2</v>
      </c>
      <c r="G202" s="3" t="str">
        <f>VLOOKUP("lowdate",DateConstants,2)</f>
        <v>1850-01-01 00:00:00</v>
      </c>
      <c r="H202" s="3" t="str">
        <f>VLOOKUP("highdate",DateConstants,2)</f>
        <v>2999-12-31  23:59:59</v>
      </c>
      <c r="I202" s="5" t="s">
        <v>25</v>
      </c>
      <c r="J202" s="5" t="s">
        <v>26</v>
      </c>
      <c r="K202" t="str">
        <f>Constants!$B$4</f>
        <v>administrator@footballoracle.co.uk</v>
      </c>
      <c r="L202" s="2" t="str">
        <f t="shared" ca="1" si="55"/>
        <v>2014-08-22 08:22:04</v>
      </c>
      <c r="M202" t="str">
        <f t="shared" si="67"/>
        <v>administrator@footballoracle.co.uk</v>
      </c>
      <c r="N202" s="2" t="str">
        <f t="shared" ca="1" si="68"/>
        <v>2014-08-22 08:22:04</v>
      </c>
    </row>
    <row r="203" spans="1:14" x14ac:dyDescent="0.25">
      <c r="A203" t="str">
        <f t="shared" si="69"/>
        <v>D8D72963-F92E-4D25-84B4-1D8961BD21DA</v>
      </c>
      <c r="B203" t="str">
        <f>Country!A168</f>
        <v>169357CF-6C66-49F3-B0CB-FEE93FF1B9A6</v>
      </c>
      <c r="C203" s="5" t="s">
        <v>268</v>
      </c>
      <c r="D203" t="str">
        <f>OrganisationV!B$19</f>
        <v>543B02BB-898C-449F-8038-51780A2938F2</v>
      </c>
      <c r="E203" t="s">
        <v>2</v>
      </c>
      <c r="F203" t="s">
        <v>2</v>
      </c>
      <c r="G203" s="3" t="str">
        <f>VLOOKUP("lowdate",DateConstants,2)</f>
        <v>1850-01-01 00:00:00</v>
      </c>
      <c r="H203" s="3" t="str">
        <f>VLOOKUP("highdate",DateConstants,2)</f>
        <v>2999-12-31  23:59:59</v>
      </c>
      <c r="I203" s="5" t="s">
        <v>25</v>
      </c>
      <c r="J203" s="5" t="s">
        <v>26</v>
      </c>
      <c r="K203" t="str">
        <f>Constants!$B$4</f>
        <v>administrator@footballoracle.co.uk</v>
      </c>
      <c r="L203" s="2" t="str">
        <f t="shared" ca="1" si="55"/>
        <v>2014-08-22 08:22:04</v>
      </c>
      <c r="M203" t="str">
        <f t="shared" si="67"/>
        <v>administrator@footballoracle.co.uk</v>
      </c>
      <c r="N203" s="2" t="str">
        <f t="shared" ca="1" si="68"/>
        <v>2014-08-22 08:22:04</v>
      </c>
    </row>
    <row r="204" spans="1:14" x14ac:dyDescent="0.25">
      <c r="A204" t="str">
        <f t="shared" si="69"/>
        <v>32F389F8-EDD0-4660-8891-623ADDE04CF9</v>
      </c>
      <c r="B204" t="str">
        <f>Country!A169</f>
        <v>77B285D3-131D-41DF-AB52-31E6074E3D67</v>
      </c>
      <c r="C204" s="5" t="s">
        <v>269</v>
      </c>
      <c r="D204" t="str">
        <f>OrganisationV!B$19</f>
        <v>543B02BB-898C-449F-8038-51780A2938F2</v>
      </c>
      <c r="E204" t="s">
        <v>2</v>
      </c>
      <c r="F204" t="s">
        <v>2</v>
      </c>
      <c r="G204" s="3" t="str">
        <f>VLOOKUP("lowdate",DateConstants,2)</f>
        <v>1850-01-01 00:00:00</v>
      </c>
      <c r="H204" s="3" t="str">
        <f>VLOOKUP("highdate",DateConstants,2)</f>
        <v>2999-12-31  23:59:59</v>
      </c>
      <c r="I204" s="5" t="s">
        <v>25</v>
      </c>
      <c r="J204" s="5" t="s">
        <v>26</v>
      </c>
      <c r="K204" t="str">
        <f>Constants!$B$4</f>
        <v>administrator@footballoracle.co.uk</v>
      </c>
      <c r="L204" s="2" t="str">
        <f t="shared" ref="L204:L267" ca="1" si="70">TEXT(NOW(), "yyyy-MM-dd hh:mm:ss")</f>
        <v>2014-08-22 08:22:04</v>
      </c>
      <c r="M204" t="str">
        <f t="shared" si="67"/>
        <v>administrator@footballoracle.co.uk</v>
      </c>
      <c r="N204" s="2" t="str">
        <f t="shared" ca="1" si="68"/>
        <v>2014-08-22 08:22:04</v>
      </c>
    </row>
    <row r="205" spans="1:14" x14ac:dyDescent="0.25">
      <c r="A205" t="str">
        <f t="shared" si="69"/>
        <v>E71B3F78-82F6-4F93-9041-FAA5B9D99A1F</v>
      </c>
      <c r="B205" t="str">
        <f>Country!A170</f>
        <v>5B4403ED-EFC1-4920-B7F2-66B64E0FA24D</v>
      </c>
      <c r="C205" s="5" t="s">
        <v>270</v>
      </c>
      <c r="D205" t="str">
        <f>OrganisationV!B$19</f>
        <v>543B02BB-898C-449F-8038-51780A2938F2</v>
      </c>
      <c r="E205" t="s">
        <v>2</v>
      </c>
      <c r="F205" t="s">
        <v>2</v>
      </c>
      <c r="G205" s="3" t="str">
        <f>VLOOKUP("lowdate",DateConstants,2)</f>
        <v>1850-01-01 00:00:00</v>
      </c>
      <c r="H205" s="3" t="str">
        <f>VLOOKUP("highdate",DateConstants,2)</f>
        <v>2999-12-31  23:59:59</v>
      </c>
      <c r="I205" s="5" t="s">
        <v>25</v>
      </c>
      <c r="J205" s="5" t="s">
        <v>26</v>
      </c>
      <c r="K205" t="str">
        <f>Constants!$B$4</f>
        <v>administrator@footballoracle.co.uk</v>
      </c>
      <c r="L205" s="2" t="str">
        <f t="shared" ca="1" si="70"/>
        <v>2014-08-22 08:22:04</v>
      </c>
      <c r="M205" t="str">
        <f t="shared" si="67"/>
        <v>administrator@footballoracle.co.uk</v>
      </c>
      <c r="N205" s="2" t="str">
        <f t="shared" ca="1" si="68"/>
        <v>2014-08-22 08:22:04</v>
      </c>
    </row>
    <row r="206" spans="1:14" x14ac:dyDescent="0.25">
      <c r="A206" t="str">
        <f t="shared" si="69"/>
        <v>A16B13FB-359F-47B2-BF80-DA91EBADAB54</v>
      </c>
      <c r="B206" t="str">
        <f>Country!A171</f>
        <v>DF87D64F-F9C6-4553-826A-F79B9AEE2500</v>
      </c>
      <c r="C206" s="5" t="s">
        <v>271</v>
      </c>
      <c r="D206" t="str">
        <f>OrganisationV!B$19</f>
        <v>543B02BB-898C-449F-8038-51780A2938F2</v>
      </c>
      <c r="E206" t="s">
        <v>2</v>
      </c>
      <c r="F206" t="s">
        <v>2</v>
      </c>
      <c r="G206" s="3" t="str">
        <f>VLOOKUP("lowdate",DateConstants,2)</f>
        <v>1850-01-01 00:00:00</v>
      </c>
      <c r="H206" s="3">
        <v>29380.999988425927</v>
      </c>
      <c r="I206" s="5" t="s">
        <v>25</v>
      </c>
      <c r="J206" s="5" t="s">
        <v>26</v>
      </c>
      <c r="K206" t="str">
        <f>Constants!$B$4</f>
        <v>administrator@footballoracle.co.uk</v>
      </c>
      <c r="L206" s="2" t="str">
        <f t="shared" ca="1" si="70"/>
        <v>2014-08-22 08:22:04</v>
      </c>
      <c r="M206" t="str">
        <f t="shared" si="67"/>
        <v>administrator@footballoracle.co.uk</v>
      </c>
      <c r="N206" s="2" t="str">
        <f t="shared" ca="1" si="68"/>
        <v>2014-08-22 08:22:04</v>
      </c>
    </row>
    <row r="207" spans="1:14" x14ac:dyDescent="0.25">
      <c r="A207" t="str">
        <f t="shared" si="69"/>
        <v>595DE34E-9605-4DBC-B2A6-7BFA3A9DF5A9</v>
      </c>
      <c r="B207" t="str">
        <f>B206</f>
        <v>DF87D64F-F9C6-4553-826A-F79B9AEE2500</v>
      </c>
      <c r="C207" s="5" t="s">
        <v>272</v>
      </c>
      <c r="D207" t="str">
        <f>OrganisationV!B$19</f>
        <v>543B02BB-898C-449F-8038-51780A2938F2</v>
      </c>
      <c r="E207" t="s">
        <v>2</v>
      </c>
      <c r="F207" t="s">
        <v>2</v>
      </c>
      <c r="G207" s="3">
        <v>29381</v>
      </c>
      <c r="H207" s="3" t="str">
        <f t="shared" ref="H207:H218" si="71">VLOOKUP("highdate",DateConstants,2)</f>
        <v>2999-12-31  23:59:59</v>
      </c>
      <c r="I207" s="5" t="s">
        <v>25</v>
      </c>
      <c r="J207" s="5" t="s">
        <v>26</v>
      </c>
      <c r="K207" t="str">
        <f>Constants!$B$4</f>
        <v>administrator@footballoracle.co.uk</v>
      </c>
      <c r="L207" s="2" t="str">
        <f t="shared" ca="1" si="70"/>
        <v>2014-08-22 08:22:04</v>
      </c>
      <c r="M207" t="str">
        <f t="shared" si="67"/>
        <v>administrator@footballoracle.co.uk</v>
      </c>
      <c r="N207" s="2" t="str">
        <f t="shared" ca="1" si="68"/>
        <v>2014-08-22 08:22:04</v>
      </c>
    </row>
    <row r="208" spans="1:14" x14ac:dyDescent="0.25">
      <c r="A208" t="str">
        <f t="shared" si="69"/>
        <v>98C884FA-8361-4F1B-A7AD-8188EF40DC0F</v>
      </c>
      <c r="B208" t="str">
        <f>Country!A172</f>
        <v>59E2F177-405B-49FA-92A9-9C304C0C3595</v>
      </c>
      <c r="C208" s="5" t="s">
        <v>274</v>
      </c>
      <c r="D208" t="str">
        <f>OrganisationV!B$20</f>
        <v>C8DE6FCA-0B89-44DC-B684-F9ACB20258A1</v>
      </c>
      <c r="E208" t="s">
        <v>2</v>
      </c>
      <c r="F208" t="s">
        <v>2</v>
      </c>
      <c r="G208" s="3" t="str">
        <f t="shared" ref="G208:G219" si="72">VLOOKUP("lowdate",DateConstants,2)</f>
        <v>1850-01-01 00:00:00</v>
      </c>
      <c r="H208" s="3" t="str">
        <f t="shared" si="71"/>
        <v>2999-12-31  23:59:59</v>
      </c>
      <c r="I208" s="5" t="s">
        <v>25</v>
      </c>
      <c r="J208" s="5" t="s">
        <v>26</v>
      </c>
      <c r="K208" t="str">
        <f>Constants!$B$4</f>
        <v>administrator@footballoracle.co.uk</v>
      </c>
      <c r="L208" s="2" t="str">
        <f t="shared" ca="1" si="70"/>
        <v>2014-08-22 08:22:04</v>
      </c>
      <c r="M208" t="str">
        <f t="shared" ref="M208" si="73">K208</f>
        <v>administrator@footballoracle.co.uk</v>
      </c>
      <c r="N208" s="2" t="str">
        <f t="shared" ca="1" si="68"/>
        <v>2014-08-22 08:22:04</v>
      </c>
    </row>
    <row r="209" spans="1:14" x14ac:dyDescent="0.25">
      <c r="A209" t="str">
        <f t="shared" si="69"/>
        <v>435E54C1-8E07-4C96-8B36-5FBB5ADDCAC0</v>
      </c>
      <c r="B209" t="str">
        <f>Country!A173</f>
        <v>6C53D44A-F89B-47A8-A600-253F21F007AD</v>
      </c>
      <c r="C209" s="5" t="s">
        <v>275</v>
      </c>
      <c r="D209" t="str">
        <f>OrganisationV!B$20</f>
        <v>C8DE6FCA-0B89-44DC-B684-F9ACB20258A1</v>
      </c>
      <c r="E209" t="s">
        <v>2</v>
      </c>
      <c r="F209" t="s">
        <v>2</v>
      </c>
      <c r="G209" s="3" t="str">
        <f t="shared" si="72"/>
        <v>1850-01-01 00:00:00</v>
      </c>
      <c r="H209" s="3" t="str">
        <f t="shared" si="71"/>
        <v>2999-12-31  23:59:59</v>
      </c>
      <c r="I209" s="5" t="s">
        <v>25</v>
      </c>
      <c r="J209" s="5" t="s">
        <v>26</v>
      </c>
      <c r="K209" t="str">
        <f>Constants!$B$4</f>
        <v>administrator@footballoracle.co.uk</v>
      </c>
      <c r="L209" s="2" t="str">
        <f t="shared" ca="1" si="70"/>
        <v>2014-08-22 08:22:04</v>
      </c>
      <c r="M209" t="str">
        <f t="shared" ref="M209:M272" si="74">K209</f>
        <v>administrator@footballoracle.co.uk</v>
      </c>
      <c r="N209" s="2" t="str">
        <f t="shared" ca="1" si="68"/>
        <v>2014-08-22 08:22:04</v>
      </c>
    </row>
    <row r="210" spans="1:14" x14ac:dyDescent="0.25">
      <c r="A210" t="str">
        <f t="shared" si="69"/>
        <v>5654E34C-C10E-4022-8733-052BF13BE1FC</v>
      </c>
      <c r="B210" t="str">
        <f>Country!A174</f>
        <v>E2CC36DB-2518-4E8C-BD10-3EF420C672CC</v>
      </c>
      <c r="C210" s="5" t="s">
        <v>276</v>
      </c>
      <c r="D210" t="str">
        <f>OrganisationV!B$20</f>
        <v>C8DE6FCA-0B89-44DC-B684-F9ACB20258A1</v>
      </c>
      <c r="E210" t="s">
        <v>2</v>
      </c>
      <c r="F210" t="s">
        <v>2</v>
      </c>
      <c r="G210" s="3" t="str">
        <f t="shared" si="72"/>
        <v>1850-01-01 00:00:00</v>
      </c>
      <c r="H210" s="3" t="str">
        <f t="shared" si="71"/>
        <v>2999-12-31  23:59:59</v>
      </c>
      <c r="I210" s="5" t="s">
        <v>25</v>
      </c>
      <c r="J210" s="5" t="s">
        <v>26</v>
      </c>
      <c r="K210" t="str">
        <f>Constants!$B$4</f>
        <v>administrator@footballoracle.co.uk</v>
      </c>
      <c r="L210" s="2" t="str">
        <f t="shared" ca="1" si="70"/>
        <v>2014-08-22 08:22:04</v>
      </c>
      <c r="M210" t="str">
        <f t="shared" si="74"/>
        <v>administrator@footballoracle.co.uk</v>
      </c>
      <c r="N210" s="2" t="str">
        <f t="shared" ca="1" si="68"/>
        <v>2014-08-22 08:22:04</v>
      </c>
    </row>
    <row r="211" spans="1:14" x14ac:dyDescent="0.25">
      <c r="A211" t="str">
        <f t="shared" si="69"/>
        <v>BAC120B2-DA10-4572-9AC1-831563689F18</v>
      </c>
      <c r="B211" t="str">
        <f>Country!A175</f>
        <v>033C8CDF-3203-41A6-9122-7C45713CEE00</v>
      </c>
      <c r="C211" s="5" t="s">
        <v>277</v>
      </c>
      <c r="D211" t="str">
        <f>OrganisationV!B$20</f>
        <v>C8DE6FCA-0B89-44DC-B684-F9ACB20258A1</v>
      </c>
      <c r="E211" t="s">
        <v>2</v>
      </c>
      <c r="F211" t="s">
        <v>2</v>
      </c>
      <c r="G211" s="3" t="str">
        <f t="shared" si="72"/>
        <v>1850-01-01 00:00:00</v>
      </c>
      <c r="H211" s="3" t="str">
        <f t="shared" si="71"/>
        <v>2999-12-31  23:59:59</v>
      </c>
      <c r="I211" s="5" t="s">
        <v>25</v>
      </c>
      <c r="J211" s="5" t="s">
        <v>26</v>
      </c>
      <c r="K211" t="str">
        <f>Constants!$B$4</f>
        <v>administrator@footballoracle.co.uk</v>
      </c>
      <c r="L211" s="2" t="str">
        <f t="shared" ca="1" si="70"/>
        <v>2014-08-22 08:22:04</v>
      </c>
      <c r="M211" t="str">
        <f t="shared" si="74"/>
        <v>administrator@footballoracle.co.uk</v>
      </c>
      <c r="N211" s="2" t="str">
        <f t="shared" ca="1" si="68"/>
        <v>2014-08-22 08:22:04</v>
      </c>
    </row>
    <row r="212" spans="1:14" x14ac:dyDescent="0.25">
      <c r="A212" t="str">
        <f t="shared" si="69"/>
        <v>1404FB4B-92C1-407E-9DE8-77733498799E</v>
      </c>
      <c r="B212" t="str">
        <f>Country!A176</f>
        <v>C018F632-742F-4C5F-BEDB-52DDEDE73E28</v>
      </c>
      <c r="C212" s="5" t="s">
        <v>278</v>
      </c>
      <c r="D212" t="str">
        <f>OrganisationV!B$20</f>
        <v>C8DE6FCA-0B89-44DC-B684-F9ACB20258A1</v>
      </c>
      <c r="E212" t="s">
        <v>2</v>
      </c>
      <c r="F212" t="s">
        <v>2</v>
      </c>
      <c r="G212" s="3" t="str">
        <f t="shared" si="72"/>
        <v>1850-01-01 00:00:00</v>
      </c>
      <c r="H212" s="3" t="str">
        <f t="shared" si="71"/>
        <v>2999-12-31  23:59:59</v>
      </c>
      <c r="I212" s="5" t="s">
        <v>25</v>
      </c>
      <c r="J212" s="5" t="s">
        <v>26</v>
      </c>
      <c r="K212" t="str">
        <f>Constants!$B$4</f>
        <v>administrator@footballoracle.co.uk</v>
      </c>
      <c r="L212" s="2" t="str">
        <f t="shared" ca="1" si="70"/>
        <v>2014-08-22 08:22:04</v>
      </c>
      <c r="M212" t="str">
        <f t="shared" si="74"/>
        <v>administrator@footballoracle.co.uk</v>
      </c>
      <c r="N212" s="2" t="str">
        <f t="shared" ca="1" si="68"/>
        <v>2014-08-22 08:22:04</v>
      </c>
    </row>
    <row r="213" spans="1:14" x14ac:dyDescent="0.25">
      <c r="A213" t="str">
        <f t="shared" si="69"/>
        <v>DC9108CB-622B-4F4E-9C76-75C2FD1BEE63</v>
      </c>
      <c r="B213" t="str">
        <f>Country!A177</f>
        <v>627947CA-A6C4-4A52-AE2C-FE9FF524DEBB</v>
      </c>
      <c r="C213" s="5" t="s">
        <v>279</v>
      </c>
      <c r="D213" t="str">
        <f>OrganisationV!B$20</f>
        <v>C8DE6FCA-0B89-44DC-B684-F9ACB20258A1</v>
      </c>
      <c r="E213" t="s">
        <v>2</v>
      </c>
      <c r="F213" t="s">
        <v>2</v>
      </c>
      <c r="G213" s="3" t="str">
        <f t="shared" si="72"/>
        <v>1850-01-01 00:00:00</v>
      </c>
      <c r="H213" s="3" t="str">
        <f t="shared" si="71"/>
        <v>2999-12-31  23:59:59</v>
      </c>
      <c r="I213" s="5" t="s">
        <v>25</v>
      </c>
      <c r="J213" s="5" t="s">
        <v>26</v>
      </c>
      <c r="K213" t="str">
        <f>Constants!$B$4</f>
        <v>administrator@footballoracle.co.uk</v>
      </c>
      <c r="L213" s="2" t="str">
        <f t="shared" ca="1" si="70"/>
        <v>2014-08-22 08:22:04</v>
      </c>
      <c r="M213" t="str">
        <f t="shared" si="74"/>
        <v>administrator@footballoracle.co.uk</v>
      </c>
      <c r="N213" s="2" t="str">
        <f t="shared" ca="1" si="68"/>
        <v>2014-08-22 08:22:04</v>
      </c>
    </row>
    <row r="214" spans="1:14" x14ac:dyDescent="0.25">
      <c r="A214" t="str">
        <f t="shared" si="69"/>
        <v>58E8898B-4DB3-429C-8E23-E6C308620492</v>
      </c>
      <c r="B214" t="str">
        <f>Country!A178</f>
        <v>55AC3E74-C68E-426E-901E-7F7D27D7CCF2</v>
      </c>
      <c r="C214" s="5" t="s">
        <v>280</v>
      </c>
      <c r="D214" t="str">
        <f>OrganisationV!B$20</f>
        <v>C8DE6FCA-0B89-44DC-B684-F9ACB20258A1</v>
      </c>
      <c r="E214" t="s">
        <v>2</v>
      </c>
      <c r="F214" t="s">
        <v>2</v>
      </c>
      <c r="G214" s="3" t="str">
        <f t="shared" si="72"/>
        <v>1850-01-01 00:00:00</v>
      </c>
      <c r="H214" s="3" t="str">
        <f t="shared" si="71"/>
        <v>2999-12-31  23:59:59</v>
      </c>
      <c r="I214" s="5" t="s">
        <v>25</v>
      </c>
      <c r="J214" s="5" t="s">
        <v>26</v>
      </c>
      <c r="K214" t="str">
        <f>Constants!$B$4</f>
        <v>administrator@footballoracle.co.uk</v>
      </c>
      <c r="L214" s="2" t="str">
        <f t="shared" ca="1" si="70"/>
        <v>2014-08-22 08:22:04</v>
      </c>
      <c r="M214" t="str">
        <f t="shared" si="74"/>
        <v>administrator@footballoracle.co.uk</v>
      </c>
      <c r="N214" s="2" t="str">
        <f t="shared" ca="1" si="68"/>
        <v>2014-08-22 08:22:04</v>
      </c>
    </row>
    <row r="215" spans="1:14" x14ac:dyDescent="0.25">
      <c r="A215" t="str">
        <f t="shared" ref="A215:A272" si="75">GetGuid()</f>
        <v>41056B8C-FEB8-4C91-87F6-146858AEDF0B</v>
      </c>
      <c r="B215" t="str">
        <f>Country!A179</f>
        <v>FFD97CC5-F887-4C2A-90BA-60A9B1BC6B9D</v>
      </c>
      <c r="C215" s="5" t="s">
        <v>281</v>
      </c>
      <c r="D215" t="str">
        <f>OrganisationV!B$20</f>
        <v>C8DE6FCA-0B89-44DC-B684-F9ACB20258A1</v>
      </c>
      <c r="E215" t="s">
        <v>2</v>
      </c>
      <c r="F215" t="s">
        <v>2</v>
      </c>
      <c r="G215" s="3" t="str">
        <f t="shared" si="72"/>
        <v>1850-01-01 00:00:00</v>
      </c>
      <c r="H215" s="3" t="str">
        <f t="shared" si="71"/>
        <v>2999-12-31  23:59:59</v>
      </c>
      <c r="I215" s="5" t="s">
        <v>25</v>
      </c>
      <c r="J215" s="5" t="s">
        <v>26</v>
      </c>
      <c r="K215" t="str">
        <f>Constants!$B$4</f>
        <v>administrator@footballoracle.co.uk</v>
      </c>
      <c r="L215" s="2" t="str">
        <f t="shared" ca="1" si="70"/>
        <v>2014-08-22 08:22:04</v>
      </c>
      <c r="M215" t="str">
        <f t="shared" si="74"/>
        <v>administrator@footballoracle.co.uk</v>
      </c>
      <c r="N215" s="2" t="str">
        <f t="shared" ca="1" si="68"/>
        <v>2014-08-22 08:22:04</v>
      </c>
    </row>
    <row r="216" spans="1:14" x14ac:dyDescent="0.25">
      <c r="A216" t="str">
        <f t="shared" si="75"/>
        <v>80521014-749F-4EDD-91EB-F9A7C313068D</v>
      </c>
      <c r="B216" t="str">
        <f>Country!A180</f>
        <v>7FAF84E6-CF31-4615-BE78-D9CDE402AA86</v>
      </c>
      <c r="C216" s="5" t="s">
        <v>282</v>
      </c>
      <c r="D216" t="str">
        <f>OrganisationV!B$20</f>
        <v>C8DE6FCA-0B89-44DC-B684-F9ACB20258A1</v>
      </c>
      <c r="E216" t="s">
        <v>2</v>
      </c>
      <c r="F216" t="s">
        <v>2</v>
      </c>
      <c r="G216" s="3" t="str">
        <f t="shared" si="72"/>
        <v>1850-01-01 00:00:00</v>
      </c>
      <c r="H216" s="3" t="str">
        <f t="shared" si="71"/>
        <v>2999-12-31  23:59:59</v>
      </c>
      <c r="I216" s="5" t="s">
        <v>25</v>
      </c>
      <c r="J216" s="5" t="s">
        <v>26</v>
      </c>
      <c r="K216" t="str">
        <f>Constants!$B$4</f>
        <v>administrator@footballoracle.co.uk</v>
      </c>
      <c r="L216" s="2" t="str">
        <f t="shared" ca="1" si="70"/>
        <v>2014-08-22 08:22:04</v>
      </c>
      <c r="M216" t="str">
        <f t="shared" si="74"/>
        <v>administrator@footballoracle.co.uk</v>
      </c>
      <c r="N216" s="2" t="str">
        <f t="shared" ca="1" si="68"/>
        <v>2014-08-22 08:22:04</v>
      </c>
    </row>
    <row r="217" spans="1:14" x14ac:dyDescent="0.25">
      <c r="A217" t="str">
        <f t="shared" si="75"/>
        <v>0DCEA9BF-6345-4CD9-A2F9-5AB5BAF9C822</v>
      </c>
      <c r="B217" t="str">
        <f>Country!A181</f>
        <v>646B5EA1-C5EE-4F5A-BB47-ED49FEEC1635</v>
      </c>
      <c r="C217" s="5" t="s">
        <v>283</v>
      </c>
      <c r="D217" t="str">
        <f>OrganisationV!B$20</f>
        <v>C8DE6FCA-0B89-44DC-B684-F9ACB20258A1</v>
      </c>
      <c r="E217" t="s">
        <v>2</v>
      </c>
      <c r="F217" t="s">
        <v>2</v>
      </c>
      <c r="G217" s="3" t="str">
        <f t="shared" si="72"/>
        <v>1850-01-01 00:00:00</v>
      </c>
      <c r="H217" s="3" t="str">
        <f t="shared" si="71"/>
        <v>2999-12-31  23:59:59</v>
      </c>
      <c r="I217" s="5" t="s">
        <v>25</v>
      </c>
      <c r="J217" s="5" t="s">
        <v>26</v>
      </c>
      <c r="K217" t="str">
        <f>Constants!$B$4</f>
        <v>administrator@footballoracle.co.uk</v>
      </c>
      <c r="L217" s="2" t="str">
        <f t="shared" ca="1" si="70"/>
        <v>2014-08-22 08:22:04</v>
      </c>
      <c r="M217" t="str">
        <f t="shared" si="74"/>
        <v>administrator@footballoracle.co.uk</v>
      </c>
      <c r="N217" s="2" t="str">
        <f t="shared" ca="1" si="68"/>
        <v>2014-08-22 08:22:04</v>
      </c>
    </row>
    <row r="218" spans="1:14" x14ac:dyDescent="0.25">
      <c r="A218" t="str">
        <f t="shared" si="75"/>
        <v>186DC665-F0A8-42F2-8113-ACDD58C1B238</v>
      </c>
      <c r="B218" t="str">
        <f>Country!A182</f>
        <v>C0DB8008-9201-4315-A686-FB8C4764248E</v>
      </c>
      <c r="C218" s="5" t="s">
        <v>284</v>
      </c>
      <c r="D218" t="str">
        <f>OrganisationV!B$20</f>
        <v>C8DE6FCA-0B89-44DC-B684-F9ACB20258A1</v>
      </c>
      <c r="E218" t="s">
        <v>2</v>
      </c>
      <c r="F218" t="s">
        <v>2</v>
      </c>
      <c r="G218" s="3" t="str">
        <f t="shared" si="72"/>
        <v>1850-01-01 00:00:00</v>
      </c>
      <c r="H218" s="3" t="str">
        <f t="shared" si="71"/>
        <v>2999-12-31  23:59:59</v>
      </c>
      <c r="I218" s="5" t="s">
        <v>25</v>
      </c>
      <c r="J218" s="5" t="s">
        <v>26</v>
      </c>
      <c r="K218" t="str">
        <f>Constants!$B$4</f>
        <v>administrator@footballoracle.co.uk</v>
      </c>
      <c r="L218" s="2" t="str">
        <f t="shared" ca="1" si="70"/>
        <v>2014-08-22 08:22:04</v>
      </c>
      <c r="M218" t="str">
        <f t="shared" si="74"/>
        <v>administrator@footballoracle.co.uk</v>
      </c>
      <c r="N218" s="2" t="str">
        <f t="shared" ca="1" si="68"/>
        <v>2014-08-22 08:22:04</v>
      </c>
    </row>
    <row r="219" spans="1:14" x14ac:dyDescent="0.25">
      <c r="A219" t="str">
        <f t="shared" si="75"/>
        <v>FFBA58AB-0633-4C94-97F2-1AEE25DDB999</v>
      </c>
      <c r="B219" t="str">
        <f>Country!A183</f>
        <v>80E0B5C9-8D4B-450B-9866-D5D1899E4BB3</v>
      </c>
      <c r="C219" s="5" t="s">
        <v>285</v>
      </c>
      <c r="D219" t="str">
        <f>OrganisationV!B$20</f>
        <v>C8DE6FCA-0B89-44DC-B684-F9ACB20258A1</v>
      </c>
      <c r="E219" t="s">
        <v>2</v>
      </c>
      <c r="F219" t="s">
        <v>2</v>
      </c>
      <c r="G219" s="3" t="str">
        <f t="shared" si="72"/>
        <v>1850-01-01 00:00:00</v>
      </c>
      <c r="H219" s="3">
        <v>34128.999988425923</v>
      </c>
      <c r="I219" s="5" t="s">
        <v>25</v>
      </c>
      <c r="J219" s="5" t="s">
        <v>26</v>
      </c>
      <c r="K219" t="str">
        <f>Constants!$B$4</f>
        <v>administrator@footballoracle.co.uk</v>
      </c>
      <c r="L219" s="2" t="str">
        <f t="shared" ca="1" si="70"/>
        <v>2014-08-22 08:22:04</v>
      </c>
      <c r="M219" t="str">
        <f t="shared" si="74"/>
        <v>administrator@footballoracle.co.uk</v>
      </c>
      <c r="N219" s="2" t="str">
        <f t="shared" ca="1" si="68"/>
        <v>2014-08-22 08:22:04</v>
      </c>
    </row>
    <row r="220" spans="1:14" x14ac:dyDescent="0.25">
      <c r="A220" t="str">
        <f t="shared" si="75"/>
        <v>C8165D2A-8434-4445-8811-7C225D78F259</v>
      </c>
      <c r="B220" t="str">
        <f>B219</f>
        <v>80E0B5C9-8D4B-450B-9866-D5D1899E4BB3</v>
      </c>
      <c r="C220" s="5" t="s">
        <v>286</v>
      </c>
      <c r="D220" t="str">
        <f>OrganisationV!B$20</f>
        <v>C8DE6FCA-0B89-44DC-B684-F9ACB20258A1</v>
      </c>
      <c r="E220" t="s">
        <v>2</v>
      </c>
      <c r="F220" t="s">
        <v>2</v>
      </c>
      <c r="G220" s="3">
        <v>34129</v>
      </c>
      <c r="H220" s="3" t="str">
        <f>VLOOKUP("highdate",DateConstants,2)</f>
        <v>2999-12-31  23:59:59</v>
      </c>
      <c r="I220" s="5" t="s">
        <v>25</v>
      </c>
      <c r="J220" s="5" t="s">
        <v>26</v>
      </c>
      <c r="K220" t="str">
        <f>Constants!$B$4</f>
        <v>administrator@footballoracle.co.uk</v>
      </c>
      <c r="L220" s="2" t="str">
        <f t="shared" ca="1" si="70"/>
        <v>2014-08-22 08:22:04</v>
      </c>
      <c r="M220" t="str">
        <f t="shared" si="74"/>
        <v>administrator@footballoracle.co.uk</v>
      </c>
      <c r="N220" s="2" t="str">
        <f t="shared" ca="1" si="68"/>
        <v>2014-08-22 08:22:04</v>
      </c>
    </row>
    <row r="221" spans="1:14" x14ac:dyDescent="0.25">
      <c r="A221" t="str">
        <f t="shared" si="75"/>
        <v>86A34031-5D96-4FE5-A392-E41B571C1E95</v>
      </c>
      <c r="B221" t="str">
        <f>Country!A184</f>
        <v>AF3C1345-178C-4A80-9ADD-810B5F4A170D</v>
      </c>
      <c r="C221" s="5" t="s">
        <v>287</v>
      </c>
      <c r="D221" t="str">
        <f>OrganisationV!B$20</f>
        <v>C8DE6FCA-0B89-44DC-B684-F9ACB20258A1</v>
      </c>
      <c r="E221" t="s">
        <v>2</v>
      </c>
      <c r="F221" t="s">
        <v>2</v>
      </c>
      <c r="G221" s="3" t="str">
        <f>VLOOKUP("lowdate",DateConstants,2)</f>
        <v>1850-01-01 00:00:00</v>
      </c>
      <c r="H221" s="3" t="str">
        <f>VLOOKUP("highdate",DateConstants,2)</f>
        <v>2999-12-31  23:59:59</v>
      </c>
      <c r="I221" s="5" t="s">
        <v>25</v>
      </c>
      <c r="J221" s="5" t="s">
        <v>26</v>
      </c>
      <c r="K221" t="str">
        <f>Constants!$B$4</f>
        <v>administrator@footballoracle.co.uk</v>
      </c>
      <c r="L221" s="2" t="str">
        <f t="shared" ca="1" si="70"/>
        <v>2014-08-22 08:22:04</v>
      </c>
      <c r="M221" t="str">
        <f t="shared" si="74"/>
        <v>administrator@footballoracle.co.uk</v>
      </c>
      <c r="N221" s="2" t="str">
        <f t="shared" ca="1" si="68"/>
        <v>2014-08-22 08:22:04</v>
      </c>
    </row>
    <row r="222" spans="1:14" x14ac:dyDescent="0.25">
      <c r="A222" t="str">
        <f t="shared" si="75"/>
        <v>0F261371-8789-4F59-A471-048687DDA55A</v>
      </c>
      <c r="B222" t="str">
        <f>Country!A185</f>
        <v>6BE78D57-BA5F-4F4D-BD3A-60BC7E6CADE7</v>
      </c>
      <c r="C222" s="5" t="s">
        <v>288</v>
      </c>
      <c r="D222" t="str">
        <f>OrganisationV!B$20</f>
        <v>C8DE6FCA-0B89-44DC-B684-F9ACB20258A1</v>
      </c>
      <c r="E222" t="s">
        <v>2</v>
      </c>
      <c r="F222" t="s">
        <v>2</v>
      </c>
      <c r="G222" s="3">
        <v>19154</v>
      </c>
      <c r="H222" s="3">
        <v>33032.999988425923</v>
      </c>
      <c r="I222" s="5" t="s">
        <v>25</v>
      </c>
      <c r="J222" s="5" t="s">
        <v>26</v>
      </c>
      <c r="K222" t="str">
        <f>Constants!$B$4</f>
        <v>administrator@footballoracle.co.uk</v>
      </c>
      <c r="L222" s="2" t="str">
        <f t="shared" ca="1" si="70"/>
        <v>2014-08-22 08:22:04</v>
      </c>
      <c r="M222" t="str">
        <f t="shared" si="74"/>
        <v>administrator@footballoracle.co.uk</v>
      </c>
      <c r="N222" s="2" t="str">
        <f t="shared" ca="1" si="68"/>
        <v>2014-08-22 08:22:04</v>
      </c>
    </row>
    <row r="223" spans="1:14" x14ac:dyDescent="0.25">
      <c r="A223" t="str">
        <f t="shared" si="75"/>
        <v>6D7371F3-FEC3-4303-84F9-7F5A15E1C50F</v>
      </c>
      <c r="B223" t="str">
        <f>Country!A186</f>
        <v>6577E754-1B41-4EBA-A72A-B37A56CD0471</v>
      </c>
      <c r="C223" s="5" t="s">
        <v>289</v>
      </c>
      <c r="D223" t="str">
        <f>OrganisationV!B$20</f>
        <v>C8DE6FCA-0B89-44DC-B684-F9ACB20258A1</v>
      </c>
      <c r="E223" t="s">
        <v>2</v>
      </c>
      <c r="F223" t="s">
        <v>2</v>
      </c>
      <c r="G223" s="3" t="str">
        <f t="shared" ref="G223:G229" si="76">VLOOKUP("lowdate",DateConstants,2)</f>
        <v>1850-01-01 00:00:00</v>
      </c>
      <c r="H223" s="3" t="str">
        <f t="shared" ref="H223:H228" si="77">VLOOKUP("highdate",DateConstants,2)</f>
        <v>2999-12-31  23:59:59</v>
      </c>
      <c r="I223" s="5" t="s">
        <v>25</v>
      </c>
      <c r="J223" s="5" t="s">
        <v>26</v>
      </c>
      <c r="K223" t="str">
        <f>Constants!$B$4</f>
        <v>administrator@footballoracle.co.uk</v>
      </c>
      <c r="L223" s="2" t="str">
        <f t="shared" ca="1" si="70"/>
        <v>2014-08-22 08:22:04</v>
      </c>
      <c r="M223" t="str">
        <f t="shared" si="74"/>
        <v>administrator@footballoracle.co.uk</v>
      </c>
      <c r="N223" s="2" t="str">
        <f t="shared" ca="1" si="68"/>
        <v>2014-08-22 08:22:04</v>
      </c>
    </row>
    <row r="224" spans="1:14" x14ac:dyDescent="0.25">
      <c r="A224" t="str">
        <f t="shared" si="75"/>
        <v>D6643401-AC29-4350-95AC-386F49FC5400</v>
      </c>
      <c r="B224" t="str">
        <f>Country!A187</f>
        <v>526F9CC3-43C6-44E3-9DDA-FC45EBFD35FB</v>
      </c>
      <c r="C224" s="5" t="s">
        <v>290</v>
      </c>
      <c r="D224" t="str">
        <f>OrganisationV!B$20</f>
        <v>C8DE6FCA-0B89-44DC-B684-F9ACB20258A1</v>
      </c>
      <c r="E224" t="s">
        <v>2</v>
      </c>
      <c r="F224" t="s">
        <v>2</v>
      </c>
      <c r="G224" s="3" t="str">
        <f t="shared" si="76"/>
        <v>1850-01-01 00:00:00</v>
      </c>
      <c r="H224" s="3" t="str">
        <f t="shared" si="77"/>
        <v>2999-12-31  23:59:59</v>
      </c>
      <c r="I224" s="5" t="s">
        <v>25</v>
      </c>
      <c r="J224" s="5" t="s">
        <v>26</v>
      </c>
      <c r="K224" t="str">
        <f>Constants!$B$4</f>
        <v>administrator@footballoracle.co.uk</v>
      </c>
      <c r="L224" s="2" t="str">
        <f t="shared" ca="1" si="70"/>
        <v>2014-08-22 08:22:04</v>
      </c>
      <c r="M224" t="str">
        <f t="shared" si="74"/>
        <v>administrator@footballoracle.co.uk</v>
      </c>
      <c r="N224" s="2" t="str">
        <f t="shared" ca="1" si="68"/>
        <v>2014-08-22 08:22:04</v>
      </c>
    </row>
    <row r="225" spans="1:14" x14ac:dyDescent="0.25">
      <c r="A225" t="str">
        <f t="shared" si="75"/>
        <v>7BAEE651-D61A-49AE-8435-F12E47943958</v>
      </c>
      <c r="B225" t="str">
        <f>Country!A188</f>
        <v>DBCB9B92-A7E4-4DDF-A8DB-E72F72F7B780</v>
      </c>
      <c r="C225" s="5" t="s">
        <v>291</v>
      </c>
      <c r="D225" t="str">
        <f>OrganisationV!B$20</f>
        <v>C8DE6FCA-0B89-44DC-B684-F9ACB20258A1</v>
      </c>
      <c r="E225" t="s">
        <v>2</v>
      </c>
      <c r="F225" t="s">
        <v>2</v>
      </c>
      <c r="G225" s="3" t="str">
        <f t="shared" si="76"/>
        <v>1850-01-01 00:00:00</v>
      </c>
      <c r="H225" s="3" t="str">
        <f t="shared" si="77"/>
        <v>2999-12-31  23:59:59</v>
      </c>
      <c r="I225" s="5" t="s">
        <v>25</v>
      </c>
      <c r="J225" s="5" t="s">
        <v>26</v>
      </c>
      <c r="K225" t="str">
        <f>Constants!$B$4</f>
        <v>administrator@footballoracle.co.uk</v>
      </c>
      <c r="L225" s="2" t="str">
        <f t="shared" ca="1" si="70"/>
        <v>2014-08-22 08:22:04</v>
      </c>
      <c r="M225" t="str">
        <f t="shared" si="74"/>
        <v>administrator@footballoracle.co.uk</v>
      </c>
      <c r="N225" s="2" t="str">
        <f t="shared" ca="1" si="68"/>
        <v>2014-08-22 08:22:04</v>
      </c>
    </row>
    <row r="226" spans="1:14" x14ac:dyDescent="0.25">
      <c r="A226" t="str">
        <f t="shared" si="75"/>
        <v>786B4B59-BF1F-4E9C-8647-00CFB55DADDC</v>
      </c>
      <c r="B226" t="str">
        <f>Country!A189</f>
        <v>4EAF8B42-2677-4BB2-8962-7E7DFBD37967</v>
      </c>
      <c r="C226" s="5" t="s">
        <v>292</v>
      </c>
      <c r="D226" t="str">
        <f>OrganisationV!B$20</f>
        <v>C8DE6FCA-0B89-44DC-B684-F9ACB20258A1</v>
      </c>
      <c r="E226" t="s">
        <v>2</v>
      </c>
      <c r="F226" t="s">
        <v>2</v>
      </c>
      <c r="G226" s="3" t="str">
        <f t="shared" si="76"/>
        <v>1850-01-01 00:00:00</v>
      </c>
      <c r="H226" s="3" t="str">
        <f t="shared" si="77"/>
        <v>2999-12-31  23:59:59</v>
      </c>
      <c r="I226" s="5" t="s">
        <v>25</v>
      </c>
      <c r="J226" s="5" t="s">
        <v>26</v>
      </c>
      <c r="K226" t="str">
        <f>Constants!$B$4</f>
        <v>administrator@footballoracle.co.uk</v>
      </c>
      <c r="L226" s="2" t="str">
        <f t="shared" ca="1" si="70"/>
        <v>2014-08-22 08:22:04</v>
      </c>
      <c r="M226" t="str">
        <f t="shared" si="74"/>
        <v>administrator@footballoracle.co.uk</v>
      </c>
      <c r="N226" s="2" t="str">
        <f t="shared" ca="1" si="68"/>
        <v>2014-08-22 08:22:04</v>
      </c>
    </row>
    <row r="227" spans="1:14" x14ac:dyDescent="0.25">
      <c r="A227" t="str">
        <f t="shared" si="75"/>
        <v>81ED4D5E-9317-483C-AAC8-8C7C6774F64B</v>
      </c>
      <c r="B227" t="str">
        <f>Country!A190</f>
        <v>DEF30068-CD49-4FD4-934D-3D88EA853738</v>
      </c>
      <c r="C227" s="5" t="s">
        <v>293</v>
      </c>
      <c r="D227" t="str">
        <f>OrganisationV!B$20</f>
        <v>C8DE6FCA-0B89-44DC-B684-F9ACB20258A1</v>
      </c>
      <c r="E227" t="s">
        <v>2</v>
      </c>
      <c r="F227" t="s">
        <v>2</v>
      </c>
      <c r="G227" s="3" t="str">
        <f t="shared" si="76"/>
        <v>1850-01-01 00:00:00</v>
      </c>
      <c r="H227" s="3" t="str">
        <f t="shared" si="77"/>
        <v>2999-12-31  23:59:59</v>
      </c>
      <c r="I227" s="5" t="s">
        <v>25</v>
      </c>
      <c r="J227" s="5" t="s">
        <v>26</v>
      </c>
      <c r="K227" t="str">
        <f>Constants!$B$4</f>
        <v>administrator@footballoracle.co.uk</v>
      </c>
      <c r="L227" s="2" t="str">
        <f t="shared" ca="1" si="70"/>
        <v>2014-08-22 08:22:04</v>
      </c>
      <c r="M227" t="str">
        <f t="shared" si="74"/>
        <v>administrator@footballoracle.co.uk</v>
      </c>
      <c r="N227" s="2" t="str">
        <f t="shared" ca="1" si="68"/>
        <v>2014-08-22 08:22:04</v>
      </c>
    </row>
    <row r="228" spans="1:14" x14ac:dyDescent="0.25">
      <c r="A228" t="str">
        <f t="shared" si="75"/>
        <v>B505F19B-1F79-4006-B925-E4C512C4923B</v>
      </c>
      <c r="B228" t="str">
        <f>Country!A191</f>
        <v>FD8D31A2-6E65-46D2-83E6-FD53F425CB14</v>
      </c>
      <c r="C228" s="5" t="s">
        <v>294</v>
      </c>
      <c r="D228" t="str">
        <f>OrganisationV!B$20</f>
        <v>C8DE6FCA-0B89-44DC-B684-F9ACB20258A1</v>
      </c>
      <c r="E228" t="s">
        <v>2</v>
      </c>
      <c r="F228" t="s">
        <v>2</v>
      </c>
      <c r="G228" s="3" t="str">
        <f t="shared" si="76"/>
        <v>1850-01-01 00:00:00</v>
      </c>
      <c r="H228" s="3" t="str">
        <f t="shared" si="77"/>
        <v>2999-12-31  23:59:59</v>
      </c>
      <c r="I228" s="5" t="s">
        <v>25</v>
      </c>
      <c r="J228" s="5" t="s">
        <v>26</v>
      </c>
      <c r="K228" t="str">
        <f>Constants!$B$4</f>
        <v>administrator@footballoracle.co.uk</v>
      </c>
      <c r="L228" s="2" t="str">
        <f t="shared" ca="1" si="70"/>
        <v>2014-08-22 08:22:04</v>
      </c>
      <c r="M228" t="str">
        <f t="shared" si="74"/>
        <v>administrator@footballoracle.co.uk</v>
      </c>
      <c r="N228" s="2" t="str">
        <f t="shared" ca="1" si="68"/>
        <v>2014-08-22 08:22:04</v>
      </c>
    </row>
    <row r="229" spans="1:14" x14ac:dyDescent="0.25">
      <c r="A229" t="str">
        <f t="shared" si="75"/>
        <v>50492F89-D74B-4713-B840-618C37F84F10</v>
      </c>
      <c r="B229" t="str">
        <f>Country!A192</f>
        <v>ED3EC93F-178F-47BB-B78C-10B86426068A</v>
      </c>
      <c r="C229" s="5" t="s">
        <v>295</v>
      </c>
      <c r="D229" t="str">
        <f>OrganisationV!B$20</f>
        <v>C8DE6FCA-0B89-44DC-B684-F9ACB20258A1</v>
      </c>
      <c r="E229" t="s">
        <v>2</v>
      </c>
      <c r="F229" t="s">
        <v>2</v>
      </c>
      <c r="G229" s="3" t="str">
        <f t="shared" si="76"/>
        <v>1850-01-01 00:00:00</v>
      </c>
      <c r="H229" s="3">
        <v>18057.999988425927</v>
      </c>
      <c r="I229" s="5" t="s">
        <v>25</v>
      </c>
      <c r="J229" s="5" t="s">
        <v>26</v>
      </c>
      <c r="K229" t="str">
        <f>Constants!$B$4</f>
        <v>administrator@footballoracle.co.uk</v>
      </c>
      <c r="L229" s="2" t="str">
        <f t="shared" ca="1" si="70"/>
        <v>2014-08-22 08:22:04</v>
      </c>
      <c r="M229" t="str">
        <f t="shared" si="74"/>
        <v>administrator@footballoracle.co.uk</v>
      </c>
      <c r="N229" s="2" t="str">
        <f t="shared" ca="1" si="68"/>
        <v>2014-08-22 08:22:04</v>
      </c>
    </row>
    <row r="230" spans="1:14" x14ac:dyDescent="0.25">
      <c r="A230" t="str">
        <f t="shared" si="75"/>
        <v>1ECA5B4E-EEF5-4A50-96DB-61ABD2676DB5</v>
      </c>
      <c r="B230" t="str">
        <f>B229</f>
        <v>ED3EC93F-178F-47BB-B78C-10B86426068A</v>
      </c>
      <c r="C230" s="5" t="s">
        <v>296</v>
      </c>
      <c r="D230" t="str">
        <f>OrganisationV!B$20</f>
        <v>C8DE6FCA-0B89-44DC-B684-F9ACB20258A1</v>
      </c>
      <c r="E230" t="s">
        <v>2</v>
      </c>
      <c r="F230" t="s">
        <v>2</v>
      </c>
      <c r="G230" s="3">
        <v>18058</v>
      </c>
      <c r="H230" s="3">
        <v>33032.999988425923</v>
      </c>
      <c r="I230" s="5" t="s">
        <v>25</v>
      </c>
      <c r="J230" s="5" t="s">
        <v>26</v>
      </c>
      <c r="K230" t="str">
        <f>Constants!$B$4</f>
        <v>administrator@footballoracle.co.uk</v>
      </c>
      <c r="L230" s="2" t="str">
        <f t="shared" ca="1" si="70"/>
        <v>2014-08-22 08:22:04</v>
      </c>
      <c r="M230" t="str">
        <f t="shared" si="74"/>
        <v>administrator@footballoracle.co.uk</v>
      </c>
      <c r="N230" s="2" t="str">
        <f t="shared" ca="1" si="68"/>
        <v>2014-08-22 08:22:04</v>
      </c>
    </row>
    <row r="231" spans="1:14" x14ac:dyDescent="0.25">
      <c r="A231" t="str">
        <f t="shared" si="75"/>
        <v>8E796187-9E39-4B77-A0A9-1932682CF29B</v>
      </c>
      <c r="B231" t="str">
        <f>B229</f>
        <v>ED3EC93F-178F-47BB-B78C-10B86426068A</v>
      </c>
      <c r="C231" s="5" t="s">
        <v>295</v>
      </c>
      <c r="D231" t="str">
        <f>OrganisationV!B$20</f>
        <v>C8DE6FCA-0B89-44DC-B684-F9ACB20258A1</v>
      </c>
      <c r="E231" t="s">
        <v>2</v>
      </c>
      <c r="F231" t="s">
        <v>2</v>
      </c>
      <c r="G231" s="3">
        <v>33033</v>
      </c>
      <c r="H231" s="3" t="str">
        <f>VLOOKUP("highdate",DateConstants,2)</f>
        <v>2999-12-31  23:59:59</v>
      </c>
      <c r="I231" s="5" t="s">
        <v>25</v>
      </c>
      <c r="J231" s="5" t="s">
        <v>26</v>
      </c>
      <c r="K231" t="str">
        <f>Constants!$B$4</f>
        <v>administrator@footballoracle.co.uk</v>
      </c>
      <c r="L231" s="2" t="str">
        <f t="shared" ca="1" si="70"/>
        <v>2014-08-22 08:22:04</v>
      </c>
      <c r="M231" t="str">
        <f t="shared" si="74"/>
        <v>administrator@footballoracle.co.uk</v>
      </c>
      <c r="N231" s="2" t="str">
        <f t="shared" ca="1" si="68"/>
        <v>2014-08-22 08:22:04</v>
      </c>
    </row>
    <row r="232" spans="1:14" x14ac:dyDescent="0.25">
      <c r="A232" t="str">
        <f t="shared" si="75"/>
        <v>A8CC4BD8-6F6E-4A27-B191-A07707691740</v>
      </c>
      <c r="B232" t="str">
        <f>Country!A193</f>
        <v>FC5A6F04-43EA-4EA7-B796-7360F33DFE49</v>
      </c>
      <c r="C232" s="5" t="s">
        <v>297</v>
      </c>
      <c r="D232" t="str">
        <f>OrganisationV!B$20</f>
        <v>C8DE6FCA-0B89-44DC-B684-F9ACB20258A1</v>
      </c>
      <c r="E232" t="s">
        <v>2</v>
      </c>
      <c r="F232" t="s">
        <v>2</v>
      </c>
      <c r="G232" s="3" t="str">
        <f>VLOOKUP("lowdate",DateConstants,2)</f>
        <v>1850-01-01 00:00:00</v>
      </c>
      <c r="H232" s="3" t="str">
        <f>VLOOKUP("highdate",DateConstants,2)</f>
        <v>2999-12-31  23:59:59</v>
      </c>
      <c r="I232" s="5" t="s">
        <v>25</v>
      </c>
      <c r="J232" s="5" t="s">
        <v>26</v>
      </c>
      <c r="K232" t="str">
        <f>Constants!$B$4</f>
        <v>administrator@footballoracle.co.uk</v>
      </c>
      <c r="L232" s="2" t="str">
        <f t="shared" ca="1" si="70"/>
        <v>2014-08-22 08:22:04</v>
      </c>
      <c r="M232" t="str">
        <f t="shared" si="74"/>
        <v>administrator@footballoracle.co.uk</v>
      </c>
      <c r="N232" s="2" t="str">
        <f t="shared" ca="1" si="68"/>
        <v>2014-08-22 08:22:04</v>
      </c>
    </row>
    <row r="233" spans="1:14" x14ac:dyDescent="0.25">
      <c r="A233" t="str">
        <f t="shared" si="75"/>
        <v>8E12408A-FA5F-4007-BD22-E25ACC85AD68</v>
      </c>
      <c r="B233" t="str">
        <f>Country!A194</f>
        <v>B5A4AF8E-C9C3-4FF5-9958-E41E15A5EC75</v>
      </c>
      <c r="C233" s="5" t="s">
        <v>298</v>
      </c>
      <c r="D233" t="str">
        <f>OrganisationV!B$20</f>
        <v>C8DE6FCA-0B89-44DC-B684-F9ACB20258A1</v>
      </c>
      <c r="E233" t="s">
        <v>2</v>
      </c>
      <c r="F233" t="s">
        <v>2</v>
      </c>
      <c r="G233" s="3" t="str">
        <f>VLOOKUP("lowdate",DateConstants,2)</f>
        <v>1850-01-01 00:00:00</v>
      </c>
      <c r="H233" s="3" t="str">
        <f>VLOOKUP("highdate",DateConstants,2)</f>
        <v>2999-12-31  23:59:59</v>
      </c>
      <c r="I233" s="5" t="s">
        <v>25</v>
      </c>
      <c r="J233" s="5" t="s">
        <v>26</v>
      </c>
      <c r="K233" t="str">
        <f>Constants!$B$4</f>
        <v>administrator@footballoracle.co.uk</v>
      </c>
      <c r="L233" s="2" t="str">
        <f t="shared" ca="1" si="70"/>
        <v>2014-08-22 08:22:04</v>
      </c>
      <c r="M233" t="str">
        <f t="shared" si="74"/>
        <v>administrator@footballoracle.co.uk</v>
      </c>
      <c r="N233" s="2" t="str">
        <f t="shared" ca="1" si="68"/>
        <v>2014-08-22 08:22:04</v>
      </c>
    </row>
    <row r="234" spans="1:14" x14ac:dyDescent="0.25">
      <c r="A234" t="str">
        <f t="shared" si="75"/>
        <v>98F78B3A-E91F-4170-891A-FB0AE84C528D</v>
      </c>
      <c r="B234" t="str">
        <f>Country!A195</f>
        <v>FCDD5958-3E66-45B5-865E-6D244BA5D0CA</v>
      </c>
      <c r="C234" s="5" t="s">
        <v>299</v>
      </c>
      <c r="D234" t="str">
        <f>OrganisationV!B$20</f>
        <v>C8DE6FCA-0B89-44DC-B684-F9ACB20258A1</v>
      </c>
      <c r="E234" t="s">
        <v>2</v>
      </c>
      <c r="F234" t="s">
        <v>2</v>
      </c>
      <c r="G234" s="3" t="str">
        <f>VLOOKUP("lowdate",DateConstants,2)</f>
        <v>1850-01-01 00:00:00</v>
      </c>
      <c r="H234" s="3" t="str">
        <f>VLOOKUP("highdate",DateConstants,2)</f>
        <v>2999-12-31  23:59:59</v>
      </c>
      <c r="I234" s="5" t="s">
        <v>25</v>
      </c>
      <c r="J234" s="5" t="s">
        <v>26</v>
      </c>
      <c r="K234" t="str">
        <f>Constants!$B$4</f>
        <v>administrator@footballoracle.co.uk</v>
      </c>
      <c r="L234" s="2" t="str">
        <f t="shared" ca="1" si="70"/>
        <v>2014-08-22 08:22:04</v>
      </c>
      <c r="M234" t="str">
        <f t="shared" si="74"/>
        <v>administrator@footballoracle.co.uk</v>
      </c>
      <c r="N234" s="2" t="str">
        <f t="shared" ca="1" si="68"/>
        <v>2014-08-22 08:22:04</v>
      </c>
    </row>
    <row r="235" spans="1:14" x14ac:dyDescent="0.25">
      <c r="A235" t="str">
        <f t="shared" si="75"/>
        <v>4E10792D-B2C1-4354-BAD9-B7328F05CB83</v>
      </c>
      <c r="B235" t="str">
        <f>Country!A196</f>
        <v>F4BD4D7A-17CF-4F2C-B64E-6DF2B5433B47</v>
      </c>
      <c r="C235" s="5" t="s">
        <v>300</v>
      </c>
      <c r="D235" t="str">
        <f>OrganisationV!B$20</f>
        <v>C8DE6FCA-0B89-44DC-B684-F9ACB20258A1</v>
      </c>
      <c r="E235" t="s">
        <v>2</v>
      </c>
      <c r="F235" t="s">
        <v>2</v>
      </c>
      <c r="G235" s="3" t="str">
        <f>VLOOKUP("lowdate",DateConstants,2)</f>
        <v>1850-01-01 00:00:00</v>
      </c>
      <c r="H235" s="3" t="str">
        <f>VLOOKUP("highdate",DateConstants,2)</f>
        <v>2999-12-31  23:59:59</v>
      </c>
      <c r="I235" s="5" t="s">
        <v>25</v>
      </c>
      <c r="J235" s="5" t="s">
        <v>26</v>
      </c>
      <c r="K235" t="str">
        <f>Constants!$B$4</f>
        <v>administrator@footballoracle.co.uk</v>
      </c>
      <c r="L235" s="2" t="str">
        <f t="shared" ca="1" si="70"/>
        <v>2014-08-22 08:22:04</v>
      </c>
      <c r="M235" t="str">
        <f t="shared" si="74"/>
        <v>administrator@footballoracle.co.uk</v>
      </c>
      <c r="N235" s="2" t="str">
        <f t="shared" ca="1" si="68"/>
        <v>2014-08-22 08:22:04</v>
      </c>
    </row>
    <row r="236" spans="1:14" x14ac:dyDescent="0.25">
      <c r="A236" t="str">
        <f t="shared" si="75"/>
        <v>DAFC94FE-1B35-4B1E-BA8C-C1E7399D5681</v>
      </c>
      <c r="B236" t="str">
        <f>Country!A197</f>
        <v>ECF793E9-AC43-42A6-9BF9-863859D3BE26</v>
      </c>
      <c r="C236" s="5" t="s">
        <v>301</v>
      </c>
      <c r="D236" t="str">
        <f>OrganisationV!B$20</f>
        <v>C8DE6FCA-0B89-44DC-B684-F9ACB20258A1</v>
      </c>
      <c r="E236" t="s">
        <v>2</v>
      </c>
      <c r="F236" t="s">
        <v>2</v>
      </c>
      <c r="G236" s="3" t="str">
        <f>VLOOKUP("lowdate",DateConstants,2)</f>
        <v>1850-01-01 00:00:00</v>
      </c>
      <c r="H236" s="3">
        <v>17692.999988425927</v>
      </c>
      <c r="I236" s="5" t="s">
        <v>25</v>
      </c>
      <c r="J236" s="5" t="s">
        <v>26</v>
      </c>
      <c r="K236" t="str">
        <f>Constants!$B$4</f>
        <v>administrator@footballoracle.co.uk</v>
      </c>
      <c r="L236" s="2" t="str">
        <f t="shared" ca="1" si="70"/>
        <v>2014-08-22 08:22:04</v>
      </c>
      <c r="M236" t="str">
        <f t="shared" si="74"/>
        <v>administrator@footballoracle.co.uk</v>
      </c>
      <c r="N236" s="2" t="str">
        <f t="shared" ca="1" si="68"/>
        <v>2014-08-22 08:22:04</v>
      </c>
    </row>
    <row r="237" spans="1:14" x14ac:dyDescent="0.25">
      <c r="A237" t="str">
        <f t="shared" si="75"/>
        <v>F1C35366-B95E-42E7-B2C7-918C98E36FE2</v>
      </c>
      <c r="B237" t="str">
        <f>B236</f>
        <v>ECF793E9-AC43-42A6-9BF9-863859D3BE26</v>
      </c>
      <c r="C237" s="5" t="s">
        <v>302</v>
      </c>
      <c r="D237" t="str">
        <f>OrganisationV!B$20</f>
        <v>C8DE6FCA-0B89-44DC-B684-F9ACB20258A1</v>
      </c>
      <c r="E237" t="s">
        <v>2</v>
      </c>
      <c r="F237" t="s">
        <v>2</v>
      </c>
      <c r="G237" s="3">
        <v>17693</v>
      </c>
      <c r="H237" s="3" t="str">
        <f t="shared" ref="H237:H248" si="78">VLOOKUP("highdate",DateConstants,2)</f>
        <v>2999-12-31  23:59:59</v>
      </c>
      <c r="I237" s="5" t="s">
        <v>25</v>
      </c>
      <c r="J237" s="5" t="s">
        <v>26</v>
      </c>
      <c r="K237" t="str">
        <f>Constants!$B$4</f>
        <v>administrator@footballoracle.co.uk</v>
      </c>
      <c r="L237" s="2" t="str">
        <f t="shared" ca="1" si="70"/>
        <v>2014-08-22 08:22:04</v>
      </c>
      <c r="M237" t="str">
        <f t="shared" si="74"/>
        <v>administrator@footballoracle.co.uk</v>
      </c>
      <c r="N237" s="2" t="str">
        <f t="shared" ca="1" si="68"/>
        <v>2014-08-22 08:22:04</v>
      </c>
    </row>
    <row r="238" spans="1:14" x14ac:dyDescent="0.25">
      <c r="A238" t="str">
        <f t="shared" si="75"/>
        <v>768F97E8-09DA-4EE4-A6A3-F28269033EA8</v>
      </c>
      <c r="B238" t="str">
        <f>Country!A198</f>
        <v>1498888A-D9D7-46B5-88DC-5DF9BD22DB07</v>
      </c>
      <c r="C238" s="5" t="s">
        <v>303</v>
      </c>
      <c r="D238" t="str">
        <f>OrganisationV!B$20</f>
        <v>C8DE6FCA-0B89-44DC-B684-F9ACB20258A1</v>
      </c>
      <c r="E238" t="s">
        <v>2</v>
      </c>
      <c r="F238" t="s">
        <v>2</v>
      </c>
      <c r="G238" s="3" t="str">
        <f t="shared" ref="G238:G249" si="79">VLOOKUP("lowdate",DateConstants,2)</f>
        <v>1850-01-01 00:00:00</v>
      </c>
      <c r="H238" s="3" t="str">
        <f t="shared" si="78"/>
        <v>2999-12-31  23:59:59</v>
      </c>
      <c r="I238" s="5" t="s">
        <v>25</v>
      </c>
      <c r="J238" s="5" t="s">
        <v>26</v>
      </c>
      <c r="K238" t="str">
        <f>Constants!$B$4</f>
        <v>administrator@footballoracle.co.uk</v>
      </c>
      <c r="L238" s="2" t="str">
        <f t="shared" ca="1" si="70"/>
        <v>2014-08-22 08:22:04</v>
      </c>
      <c r="M238" t="str">
        <f t="shared" si="74"/>
        <v>administrator@footballoracle.co.uk</v>
      </c>
      <c r="N238" s="2" t="str">
        <f t="shared" ca="1" si="68"/>
        <v>2014-08-22 08:22:04</v>
      </c>
    </row>
    <row r="239" spans="1:14" x14ac:dyDescent="0.25">
      <c r="A239" t="str">
        <f t="shared" si="75"/>
        <v>0472BE15-F3A0-4D89-A3BA-CDAE32D65245</v>
      </c>
      <c r="B239" t="str">
        <f>Country!A199</f>
        <v>A095B1FF-1DAD-4DD5-9D17-9FE61CF06C20</v>
      </c>
      <c r="C239" s="5" t="s">
        <v>304</v>
      </c>
      <c r="D239" t="str">
        <f>OrganisationV!B$20</f>
        <v>C8DE6FCA-0B89-44DC-B684-F9ACB20258A1</v>
      </c>
      <c r="E239" t="s">
        <v>2</v>
      </c>
      <c r="F239" t="s">
        <v>2</v>
      </c>
      <c r="G239" s="3" t="str">
        <f t="shared" si="79"/>
        <v>1850-01-01 00:00:00</v>
      </c>
      <c r="H239" s="3" t="str">
        <f t="shared" si="78"/>
        <v>2999-12-31  23:59:59</v>
      </c>
      <c r="I239" s="5" t="s">
        <v>25</v>
      </c>
      <c r="J239" s="5" t="s">
        <v>26</v>
      </c>
      <c r="K239" t="str">
        <f>Constants!$B$4</f>
        <v>administrator@footballoracle.co.uk</v>
      </c>
      <c r="L239" s="2" t="str">
        <f t="shared" ca="1" si="70"/>
        <v>2014-08-22 08:22:04</v>
      </c>
      <c r="M239" t="str">
        <f t="shared" si="74"/>
        <v>administrator@footballoracle.co.uk</v>
      </c>
      <c r="N239" s="2" t="str">
        <f t="shared" ca="1" si="68"/>
        <v>2014-08-22 08:22:04</v>
      </c>
    </row>
    <row r="240" spans="1:14" x14ac:dyDescent="0.25">
      <c r="A240" t="str">
        <f t="shared" si="75"/>
        <v>32CDF0FE-1D3C-4681-9A66-5B15801A3954</v>
      </c>
      <c r="B240" t="str">
        <f>Country!A200</f>
        <v>3A5D1BC3-9234-4CA3-B0CB-4A0F1AB92CF9</v>
      </c>
      <c r="C240" s="5" t="s">
        <v>305</v>
      </c>
      <c r="D240" t="str">
        <f>OrganisationV!B$20</f>
        <v>C8DE6FCA-0B89-44DC-B684-F9ACB20258A1</v>
      </c>
      <c r="E240" t="s">
        <v>2</v>
      </c>
      <c r="F240" t="s">
        <v>2</v>
      </c>
      <c r="G240" s="3" t="str">
        <f t="shared" si="79"/>
        <v>1850-01-01 00:00:00</v>
      </c>
      <c r="H240" s="3" t="str">
        <f t="shared" si="78"/>
        <v>2999-12-31  23:59:59</v>
      </c>
      <c r="I240" s="5" t="s">
        <v>25</v>
      </c>
      <c r="J240" s="5" t="s">
        <v>26</v>
      </c>
      <c r="K240" t="str">
        <f>Constants!$B$4</f>
        <v>administrator@footballoracle.co.uk</v>
      </c>
      <c r="L240" s="2" t="str">
        <f t="shared" ca="1" si="70"/>
        <v>2014-08-22 08:22:04</v>
      </c>
      <c r="M240" t="str">
        <f t="shared" si="74"/>
        <v>administrator@footballoracle.co.uk</v>
      </c>
      <c r="N240" s="2" t="str">
        <f t="shared" ca="1" si="68"/>
        <v>2014-08-22 08:22:04</v>
      </c>
    </row>
    <row r="241" spans="1:14" x14ac:dyDescent="0.25">
      <c r="A241" t="str">
        <f t="shared" si="75"/>
        <v>4D789CD4-C181-4B9D-89E9-2AE653A9D526</v>
      </c>
      <c r="B241" t="str">
        <f>Country!A201</f>
        <v>7CBDBBC0-3397-40AD-B142-C67D1BB8C4A8</v>
      </c>
      <c r="C241" s="5" t="s">
        <v>306</v>
      </c>
      <c r="D241" t="str">
        <f>OrganisationV!B$20</f>
        <v>C8DE6FCA-0B89-44DC-B684-F9ACB20258A1</v>
      </c>
      <c r="E241" t="s">
        <v>2</v>
      </c>
      <c r="F241" t="s">
        <v>2</v>
      </c>
      <c r="G241" s="3" t="str">
        <f t="shared" si="79"/>
        <v>1850-01-01 00:00:00</v>
      </c>
      <c r="H241" s="3" t="str">
        <f t="shared" si="78"/>
        <v>2999-12-31  23:59:59</v>
      </c>
      <c r="I241" s="5" t="s">
        <v>25</v>
      </c>
      <c r="J241" s="5" t="s">
        <v>26</v>
      </c>
      <c r="K241" t="str">
        <f>Constants!$B$4</f>
        <v>administrator@footballoracle.co.uk</v>
      </c>
      <c r="L241" s="2" t="str">
        <f t="shared" ca="1" si="70"/>
        <v>2014-08-22 08:22:04</v>
      </c>
      <c r="M241" t="str">
        <f t="shared" si="74"/>
        <v>administrator@footballoracle.co.uk</v>
      </c>
      <c r="N241" s="2" t="str">
        <f t="shared" ca="1" si="68"/>
        <v>2014-08-22 08:22:04</v>
      </c>
    </row>
    <row r="242" spans="1:14" x14ac:dyDescent="0.25">
      <c r="A242" t="str">
        <f t="shared" si="75"/>
        <v>3BABFA67-D637-41A8-8631-F87AC7B90011</v>
      </c>
      <c r="B242" t="str">
        <f>Country!A202</f>
        <v>44F1CE23-E946-4572-B609-10F8A7B843AF</v>
      </c>
      <c r="C242" s="5" t="s">
        <v>307</v>
      </c>
      <c r="D242" t="str">
        <f>OrganisationV!B$20</f>
        <v>C8DE6FCA-0B89-44DC-B684-F9ACB20258A1</v>
      </c>
      <c r="E242" t="s">
        <v>2</v>
      </c>
      <c r="F242" t="s">
        <v>2</v>
      </c>
      <c r="G242" s="3" t="str">
        <f t="shared" si="79"/>
        <v>1850-01-01 00:00:00</v>
      </c>
      <c r="H242" s="3" t="str">
        <f t="shared" si="78"/>
        <v>2999-12-31  23:59:59</v>
      </c>
      <c r="I242" s="5" t="s">
        <v>25</v>
      </c>
      <c r="J242" s="5" t="s">
        <v>26</v>
      </c>
      <c r="K242" t="str">
        <f>Constants!$B$4</f>
        <v>administrator@footballoracle.co.uk</v>
      </c>
      <c r="L242" s="2" t="str">
        <f t="shared" ca="1" si="70"/>
        <v>2014-08-22 08:22:04</v>
      </c>
      <c r="M242" t="str">
        <f t="shared" si="74"/>
        <v>administrator@footballoracle.co.uk</v>
      </c>
      <c r="N242" s="2" t="str">
        <f t="shared" ca="1" si="68"/>
        <v>2014-08-22 08:22:04</v>
      </c>
    </row>
    <row r="243" spans="1:14" x14ac:dyDescent="0.25">
      <c r="A243" t="str">
        <f t="shared" si="75"/>
        <v>7D7A5994-B18A-4098-8FC3-4A1ED2FCD71C</v>
      </c>
      <c r="B243" t="str">
        <f>Country!A203</f>
        <v>2F22F735-9ECF-4731-94EE-CA5C0D2F0E27</v>
      </c>
      <c r="C243" s="5" t="s">
        <v>308</v>
      </c>
      <c r="D243" t="str">
        <f>OrganisationV!B$20</f>
        <v>C8DE6FCA-0B89-44DC-B684-F9ACB20258A1</v>
      </c>
      <c r="E243" t="s">
        <v>2</v>
      </c>
      <c r="F243" t="s">
        <v>2</v>
      </c>
      <c r="G243" s="3" t="str">
        <f t="shared" si="79"/>
        <v>1850-01-01 00:00:00</v>
      </c>
      <c r="H243" s="3" t="str">
        <f t="shared" si="78"/>
        <v>2999-12-31  23:59:59</v>
      </c>
      <c r="I243" s="5" t="s">
        <v>25</v>
      </c>
      <c r="J243" s="5" t="s">
        <v>26</v>
      </c>
      <c r="K243" t="str">
        <f>Constants!$B$4</f>
        <v>administrator@footballoracle.co.uk</v>
      </c>
      <c r="L243" s="2" t="str">
        <f t="shared" ca="1" si="70"/>
        <v>2014-08-22 08:22:04</v>
      </c>
      <c r="M243" t="str">
        <f t="shared" si="74"/>
        <v>administrator@footballoracle.co.uk</v>
      </c>
      <c r="N243" s="2" t="str">
        <f t="shared" ca="1" si="68"/>
        <v>2014-08-22 08:22:04</v>
      </c>
    </row>
    <row r="244" spans="1:14" x14ac:dyDescent="0.25">
      <c r="A244" t="str">
        <f t="shared" si="75"/>
        <v>A4BFCD72-413F-4226-8E40-0C7C86F74FB0</v>
      </c>
      <c r="B244" t="str">
        <f>Country!A204</f>
        <v>11B7D9D6-C28A-477B-AE76-706767295D6E</v>
      </c>
      <c r="C244" s="5" t="s">
        <v>309</v>
      </c>
      <c r="D244" t="str">
        <f>OrganisationV!B$20</f>
        <v>C8DE6FCA-0B89-44DC-B684-F9ACB20258A1</v>
      </c>
      <c r="E244" t="s">
        <v>2</v>
      </c>
      <c r="F244" t="s">
        <v>2</v>
      </c>
      <c r="G244" s="3" t="str">
        <f t="shared" si="79"/>
        <v>1850-01-01 00:00:00</v>
      </c>
      <c r="H244" s="3" t="str">
        <f t="shared" si="78"/>
        <v>2999-12-31  23:59:59</v>
      </c>
      <c r="I244" s="5" t="s">
        <v>25</v>
      </c>
      <c r="J244" s="5" t="s">
        <v>26</v>
      </c>
      <c r="K244" t="str">
        <f>Constants!$B$4</f>
        <v>administrator@footballoracle.co.uk</v>
      </c>
      <c r="L244" s="2" t="str">
        <f t="shared" ca="1" si="70"/>
        <v>2014-08-22 08:22:04</v>
      </c>
      <c r="M244" t="str">
        <f t="shared" si="74"/>
        <v>administrator@footballoracle.co.uk</v>
      </c>
      <c r="N244" s="2" t="str">
        <f t="shared" ca="1" si="68"/>
        <v>2014-08-22 08:22:04</v>
      </c>
    </row>
    <row r="245" spans="1:14" x14ac:dyDescent="0.25">
      <c r="A245" t="str">
        <f t="shared" si="75"/>
        <v>BCE7394E-692C-45F9-B6E2-3C45904085DF</v>
      </c>
      <c r="B245" t="str">
        <f>Country!A205</f>
        <v>4D884F8A-40A4-419B-AD23-042306AA0567</v>
      </c>
      <c r="C245" s="5" t="s">
        <v>310</v>
      </c>
      <c r="D245" t="str">
        <f>OrganisationV!B$20</f>
        <v>C8DE6FCA-0B89-44DC-B684-F9ACB20258A1</v>
      </c>
      <c r="E245" t="s">
        <v>2</v>
      </c>
      <c r="F245" t="s">
        <v>2</v>
      </c>
      <c r="G245" s="3" t="str">
        <f t="shared" si="79"/>
        <v>1850-01-01 00:00:00</v>
      </c>
      <c r="H245" s="3" t="str">
        <f t="shared" si="78"/>
        <v>2999-12-31  23:59:59</v>
      </c>
      <c r="I245" s="5" t="s">
        <v>25</v>
      </c>
      <c r="J245" s="5" t="s">
        <v>26</v>
      </c>
      <c r="K245" t="str">
        <f>Constants!$B$4</f>
        <v>administrator@footballoracle.co.uk</v>
      </c>
      <c r="L245" s="2" t="str">
        <f t="shared" ca="1" si="70"/>
        <v>2014-08-22 08:22:04</v>
      </c>
      <c r="M245" t="str">
        <f t="shared" si="74"/>
        <v>administrator@footballoracle.co.uk</v>
      </c>
      <c r="N245" s="2" t="str">
        <f t="shared" ca="1" si="68"/>
        <v>2014-08-22 08:22:04</v>
      </c>
    </row>
    <row r="246" spans="1:14" x14ac:dyDescent="0.25">
      <c r="A246" t="str">
        <f t="shared" si="75"/>
        <v>7501F5F8-5A29-443B-957E-B60396F177EB</v>
      </c>
      <c r="B246" t="str">
        <f>Country!A206</f>
        <v>6DCF72FB-A13D-483C-83B4-65C6AE9D2A91</v>
      </c>
      <c r="C246" s="5" t="s">
        <v>311</v>
      </c>
      <c r="D246" t="str">
        <f>OrganisationV!B$20</f>
        <v>C8DE6FCA-0B89-44DC-B684-F9ACB20258A1</v>
      </c>
      <c r="E246" t="s">
        <v>2</v>
      </c>
      <c r="F246" t="s">
        <v>2</v>
      </c>
      <c r="G246" s="3" t="str">
        <f t="shared" si="79"/>
        <v>1850-01-01 00:00:00</v>
      </c>
      <c r="H246" s="3" t="str">
        <f t="shared" si="78"/>
        <v>2999-12-31  23:59:59</v>
      </c>
      <c r="I246" s="5" t="s">
        <v>25</v>
      </c>
      <c r="J246" s="5" t="s">
        <v>26</v>
      </c>
      <c r="K246" t="str">
        <f>Constants!$B$4</f>
        <v>administrator@footballoracle.co.uk</v>
      </c>
      <c r="L246" s="2" t="str">
        <f t="shared" ca="1" si="70"/>
        <v>2014-08-22 08:22:04</v>
      </c>
      <c r="M246" t="str">
        <f t="shared" si="74"/>
        <v>administrator@footballoracle.co.uk</v>
      </c>
      <c r="N246" s="2" t="str">
        <f t="shared" ca="1" si="68"/>
        <v>2014-08-22 08:22:04</v>
      </c>
    </row>
    <row r="247" spans="1:14" x14ac:dyDescent="0.25">
      <c r="A247" t="str">
        <f t="shared" si="75"/>
        <v>9823CC46-5D34-4F5F-8FB2-44071D6F1EC5</v>
      </c>
      <c r="B247" t="str">
        <f>Country!A207</f>
        <v>C36B20B8-8458-478C-AF53-88D540DE7CD7</v>
      </c>
      <c r="C247" s="5" t="s">
        <v>312</v>
      </c>
      <c r="D247" t="str">
        <f>OrganisationV!B$20</f>
        <v>C8DE6FCA-0B89-44DC-B684-F9ACB20258A1</v>
      </c>
      <c r="E247" t="s">
        <v>2</v>
      </c>
      <c r="F247" t="s">
        <v>2</v>
      </c>
      <c r="G247" s="3" t="str">
        <f t="shared" si="79"/>
        <v>1850-01-01 00:00:00</v>
      </c>
      <c r="H247" s="3" t="str">
        <f t="shared" si="78"/>
        <v>2999-12-31  23:59:59</v>
      </c>
      <c r="I247" s="5" t="s">
        <v>25</v>
      </c>
      <c r="J247" s="5" t="s">
        <v>26</v>
      </c>
      <c r="K247" t="str">
        <f>Constants!$B$4</f>
        <v>administrator@footballoracle.co.uk</v>
      </c>
      <c r="L247" s="2" t="str">
        <f t="shared" ca="1" si="70"/>
        <v>2014-08-22 08:22:04</v>
      </c>
      <c r="M247" t="str">
        <f t="shared" si="74"/>
        <v>administrator@footballoracle.co.uk</v>
      </c>
      <c r="N247" s="2" t="str">
        <f t="shared" ca="1" si="68"/>
        <v>2014-08-22 08:22:04</v>
      </c>
    </row>
    <row r="248" spans="1:14" x14ac:dyDescent="0.25">
      <c r="A248" t="str">
        <f t="shared" si="75"/>
        <v>31F9A085-E10C-46CA-A3D2-C1A9D0E83BCC</v>
      </c>
      <c r="B248" t="str">
        <f>Country!A208</f>
        <v>139709D5-644C-4457-AF67-077383701BB5</v>
      </c>
      <c r="C248" s="5" t="s">
        <v>313</v>
      </c>
      <c r="D248" t="str">
        <f>OrganisationV!B$20</f>
        <v>C8DE6FCA-0B89-44DC-B684-F9ACB20258A1</v>
      </c>
      <c r="E248" t="s">
        <v>2</v>
      </c>
      <c r="F248" t="s">
        <v>2</v>
      </c>
      <c r="G248" s="3" t="str">
        <f t="shared" si="79"/>
        <v>1850-01-01 00:00:00</v>
      </c>
      <c r="H248" s="3" t="str">
        <f t="shared" si="78"/>
        <v>2999-12-31  23:59:59</v>
      </c>
      <c r="I248" s="5" t="s">
        <v>25</v>
      </c>
      <c r="J248" s="5" t="s">
        <v>26</v>
      </c>
      <c r="K248" t="str">
        <f>Constants!$B$4</f>
        <v>administrator@footballoracle.co.uk</v>
      </c>
      <c r="L248" s="2" t="str">
        <f t="shared" ca="1" si="70"/>
        <v>2014-08-22 08:22:04</v>
      </c>
      <c r="M248" t="str">
        <f t="shared" si="74"/>
        <v>administrator@footballoracle.co.uk</v>
      </c>
      <c r="N248" s="2" t="str">
        <f t="shared" ca="1" si="68"/>
        <v>2014-08-22 08:22:04</v>
      </c>
    </row>
    <row r="249" spans="1:14" x14ac:dyDescent="0.25">
      <c r="A249" t="str">
        <f t="shared" si="75"/>
        <v>0EBC8784-1D06-47C4-AB9F-BE49C718C74F</v>
      </c>
      <c r="B249" t="str">
        <f>Country!A209</f>
        <v>30D8D54A-FD2B-4683-81F1-FF1359BE60A7</v>
      </c>
      <c r="C249" s="5" t="s">
        <v>314</v>
      </c>
      <c r="D249" t="str">
        <f>OrganisationV!B$20</f>
        <v>C8DE6FCA-0B89-44DC-B684-F9ACB20258A1</v>
      </c>
      <c r="E249" t="s">
        <v>2</v>
      </c>
      <c r="F249" t="s">
        <v>2</v>
      </c>
      <c r="G249" s="3" t="str">
        <f t="shared" si="79"/>
        <v>1850-01-01 00:00:00</v>
      </c>
      <c r="H249" s="3">
        <v>19518.999988425927</v>
      </c>
      <c r="I249" s="5" t="s">
        <v>25</v>
      </c>
      <c r="J249" s="5" t="s">
        <v>26</v>
      </c>
      <c r="K249" t="str">
        <f>Constants!$B$4</f>
        <v>administrator@footballoracle.co.uk</v>
      </c>
      <c r="L249" s="2" t="str">
        <f t="shared" ca="1" si="70"/>
        <v>2014-08-22 08:22:04</v>
      </c>
      <c r="M249" t="str">
        <f t="shared" si="74"/>
        <v>administrator@footballoracle.co.uk</v>
      </c>
      <c r="N249" s="2" t="str">
        <f t="shared" ca="1" si="68"/>
        <v>2014-08-22 08:22:04</v>
      </c>
    </row>
    <row r="250" spans="1:14" x14ac:dyDescent="0.25">
      <c r="A250" t="str">
        <f t="shared" si="75"/>
        <v>6179B8FB-73DD-4855-8B66-E4024D1EA708</v>
      </c>
      <c r="B250" t="str">
        <f>B249</f>
        <v>30D8D54A-FD2B-4683-81F1-FF1359BE60A7</v>
      </c>
      <c r="C250" s="5" t="s">
        <v>315</v>
      </c>
      <c r="D250" t="str">
        <f>OrganisationV!B$20</f>
        <v>C8DE6FCA-0B89-44DC-B684-F9ACB20258A1</v>
      </c>
      <c r="E250" t="s">
        <v>2</v>
      </c>
      <c r="F250" t="s">
        <v>2</v>
      </c>
      <c r="G250" s="3">
        <v>19519</v>
      </c>
      <c r="H250" s="3" t="str">
        <f>VLOOKUP("highdate",DateConstants,2)</f>
        <v>2999-12-31  23:59:59</v>
      </c>
      <c r="I250" s="5" t="s">
        <v>25</v>
      </c>
      <c r="J250" s="5" t="s">
        <v>26</v>
      </c>
      <c r="K250" t="str">
        <f>Constants!$B$4</f>
        <v>administrator@footballoracle.co.uk</v>
      </c>
      <c r="L250" s="2" t="str">
        <f t="shared" ca="1" si="70"/>
        <v>2014-08-22 08:22:04</v>
      </c>
      <c r="M250" t="str">
        <f t="shared" si="74"/>
        <v>administrator@footballoracle.co.uk</v>
      </c>
      <c r="N250" s="2" t="str">
        <f t="shared" ca="1" si="68"/>
        <v>2014-08-22 08:22:04</v>
      </c>
    </row>
    <row r="251" spans="1:14" x14ac:dyDescent="0.25">
      <c r="A251" t="str">
        <f t="shared" si="75"/>
        <v>F2884931-DB6F-4297-837C-069DEE90CF2C</v>
      </c>
      <c r="B251" t="str">
        <f>Country!A210</f>
        <v>E7124763-0241-4DD0-A5DF-E5800C966908</v>
      </c>
      <c r="C251" s="5" t="s">
        <v>316</v>
      </c>
      <c r="D251" t="str">
        <f>OrganisationV!B$20</f>
        <v>C8DE6FCA-0B89-44DC-B684-F9ACB20258A1</v>
      </c>
      <c r="E251" t="s">
        <v>2</v>
      </c>
      <c r="F251" t="s">
        <v>2</v>
      </c>
      <c r="G251" s="3" t="str">
        <f>VLOOKUP("lowdate",DateConstants,2)</f>
        <v>1850-01-01 00:00:00</v>
      </c>
      <c r="H251" s="3" t="str">
        <f>VLOOKUP("highdate",DateConstants,2)</f>
        <v>2999-12-31  23:59:59</v>
      </c>
      <c r="I251" s="5" t="s">
        <v>25</v>
      </c>
      <c r="J251" s="5" t="s">
        <v>26</v>
      </c>
      <c r="K251" t="str">
        <f>Constants!$B$4</f>
        <v>administrator@footballoracle.co.uk</v>
      </c>
      <c r="L251" s="2" t="str">
        <f t="shared" ca="1" si="70"/>
        <v>2014-08-22 08:22:04</v>
      </c>
      <c r="M251" t="str">
        <f t="shared" si="74"/>
        <v>administrator@footballoracle.co.uk</v>
      </c>
      <c r="N251" s="2" t="str">
        <f t="shared" ca="1" si="68"/>
        <v>2014-08-22 08:22:04</v>
      </c>
    </row>
    <row r="252" spans="1:14" x14ac:dyDescent="0.25">
      <c r="A252" t="str">
        <f t="shared" si="75"/>
        <v>1E925B25-4A9E-43B9-857B-CF2C5AA4DE1E</v>
      </c>
      <c r="B252" t="str">
        <f>Country!A211</f>
        <v>57861CBE-CC15-4892-8616-EC63B931377C</v>
      </c>
      <c r="C252" s="5" t="s">
        <v>317</v>
      </c>
      <c r="D252" t="str">
        <f>OrganisationV!B$20</f>
        <v>C8DE6FCA-0B89-44DC-B684-F9ACB20258A1</v>
      </c>
      <c r="E252" t="s">
        <v>2</v>
      </c>
      <c r="F252" t="s">
        <v>2</v>
      </c>
      <c r="G252" s="3" t="str">
        <f>VLOOKUP("lowdate",DateConstants,2)</f>
        <v>1850-01-01 00:00:00</v>
      </c>
      <c r="H252" s="3" t="str">
        <f>VLOOKUP("highdate",DateConstants,2)</f>
        <v>2999-12-31  23:59:59</v>
      </c>
      <c r="I252" s="5" t="s">
        <v>25</v>
      </c>
      <c r="J252" s="5" t="s">
        <v>26</v>
      </c>
      <c r="K252" t="str">
        <f>Constants!$B$4</f>
        <v>administrator@footballoracle.co.uk</v>
      </c>
      <c r="L252" s="2" t="str">
        <f t="shared" ca="1" si="70"/>
        <v>2014-08-22 08:22:04</v>
      </c>
      <c r="M252" t="str">
        <f t="shared" si="74"/>
        <v>administrator@footballoracle.co.uk</v>
      </c>
      <c r="N252" s="2" t="str">
        <f t="shared" ca="1" si="68"/>
        <v>2014-08-22 08:22:04</v>
      </c>
    </row>
    <row r="253" spans="1:14" x14ac:dyDescent="0.25">
      <c r="A253" t="str">
        <f t="shared" si="75"/>
        <v>E4E7C35C-8659-4BEB-9594-852A76E1EAAB</v>
      </c>
      <c r="B253" t="str">
        <f>Country!A212</f>
        <v>45EA677A-1D4C-4713-A174-6BA6CBC46383</v>
      </c>
      <c r="C253" s="5" t="s">
        <v>318</v>
      </c>
      <c r="D253" t="str">
        <f>OrganisationV!B$20</f>
        <v>C8DE6FCA-0B89-44DC-B684-F9ACB20258A1</v>
      </c>
      <c r="E253" t="s">
        <v>2</v>
      </c>
      <c r="F253" t="s">
        <v>2</v>
      </c>
      <c r="G253" s="3" t="str">
        <f>VLOOKUP("lowdate",DateConstants,2)</f>
        <v>1850-01-01 00:00:00</v>
      </c>
      <c r="H253" s="3" t="str">
        <f>VLOOKUP("highdate",DateConstants,2)</f>
        <v>2999-12-31  23:59:59</v>
      </c>
      <c r="I253" s="5" t="s">
        <v>25</v>
      </c>
      <c r="J253" s="5" t="s">
        <v>26</v>
      </c>
      <c r="K253" t="str">
        <f>Constants!$B$4</f>
        <v>administrator@footballoracle.co.uk</v>
      </c>
      <c r="L253" s="2" t="str">
        <f t="shared" ca="1" si="70"/>
        <v>2014-08-22 08:22:04</v>
      </c>
      <c r="M253" t="str">
        <f t="shared" si="74"/>
        <v>administrator@footballoracle.co.uk</v>
      </c>
      <c r="N253" s="2" t="str">
        <f t="shared" ca="1" si="68"/>
        <v>2014-08-22 08:22:04</v>
      </c>
    </row>
    <row r="254" spans="1:14" x14ac:dyDescent="0.25">
      <c r="A254" t="str">
        <f t="shared" si="75"/>
        <v>27C4D8ED-CB73-4DBE-9893-AFDCFB6286AE</v>
      </c>
      <c r="B254" t="str">
        <f>Country!A213</f>
        <v>2A561445-3D93-463F-9381-5A2213D08A1F</v>
      </c>
      <c r="C254" s="5" t="s">
        <v>319</v>
      </c>
      <c r="D254" t="str">
        <f>OrganisationV!B$20</f>
        <v>C8DE6FCA-0B89-44DC-B684-F9ACB20258A1</v>
      </c>
      <c r="E254" t="s">
        <v>2</v>
      </c>
      <c r="F254" t="s">
        <v>2</v>
      </c>
      <c r="G254" s="3" t="str">
        <f>VLOOKUP("lowdate",DateConstants,2)</f>
        <v>1850-01-01 00:00:00</v>
      </c>
      <c r="H254" s="3">
        <v>13674.999988425925</v>
      </c>
      <c r="I254" s="5" t="s">
        <v>25</v>
      </c>
      <c r="J254" s="5" t="s">
        <v>26</v>
      </c>
      <c r="K254" t="str">
        <f>Constants!$B$4</f>
        <v>administrator@footballoracle.co.uk</v>
      </c>
      <c r="L254" s="2" t="str">
        <f t="shared" ca="1" si="70"/>
        <v>2014-08-22 08:22:04</v>
      </c>
      <c r="M254" t="str">
        <f t="shared" si="74"/>
        <v>administrator@footballoracle.co.uk</v>
      </c>
      <c r="N254" s="2" t="str">
        <f t="shared" ca="1" si="68"/>
        <v>2014-08-22 08:22:04</v>
      </c>
    </row>
    <row r="255" spans="1:14" x14ac:dyDescent="0.25">
      <c r="A255" t="str">
        <f t="shared" si="75"/>
        <v>4CF5778D-6D1B-4AED-AF92-D45646353BEE</v>
      </c>
      <c r="B255" t="str">
        <f>B254</f>
        <v>2A561445-3D93-463F-9381-5A2213D08A1F</v>
      </c>
      <c r="C255" s="5" t="s">
        <v>320</v>
      </c>
      <c r="D255" t="str">
        <f>OrganisationV!B$20</f>
        <v>C8DE6FCA-0B89-44DC-B684-F9ACB20258A1</v>
      </c>
      <c r="E255" t="s">
        <v>2</v>
      </c>
      <c r="F255" t="s">
        <v>2</v>
      </c>
      <c r="G255" s="3">
        <v>13675</v>
      </c>
      <c r="H255" s="3" t="str">
        <f>VLOOKUP("highdate",DateConstants,2)</f>
        <v>2999-12-31  23:59:59</v>
      </c>
      <c r="I255" s="5" t="s">
        <v>25</v>
      </c>
      <c r="J255" s="5" t="s">
        <v>26</v>
      </c>
      <c r="K255" t="str">
        <f>Constants!$B$4</f>
        <v>administrator@footballoracle.co.uk</v>
      </c>
      <c r="L255" s="2" t="str">
        <f t="shared" ca="1" si="70"/>
        <v>2014-08-22 08:22:04</v>
      </c>
      <c r="M255" t="str">
        <f t="shared" si="74"/>
        <v>administrator@footballoracle.co.uk</v>
      </c>
      <c r="N255" s="2" t="str">
        <f t="shared" ca="1" si="68"/>
        <v>2014-08-22 08:22:04</v>
      </c>
    </row>
    <row r="256" spans="1:14" x14ac:dyDescent="0.25">
      <c r="A256" t="str">
        <f t="shared" si="75"/>
        <v>7A6068F7-D778-420D-B8F1-F5E2CDF8DAA8</v>
      </c>
      <c r="B256" t="str">
        <f>Country!A214</f>
        <v>715EAB6E-A5BA-43F1-8A77-E9CBF872005E</v>
      </c>
      <c r="C256" s="5" t="s">
        <v>321</v>
      </c>
      <c r="D256" t="str">
        <f>OrganisationV!B$20</f>
        <v>C8DE6FCA-0B89-44DC-B684-F9ACB20258A1</v>
      </c>
      <c r="E256" t="s">
        <v>2</v>
      </c>
      <c r="F256" t="s">
        <v>2</v>
      </c>
      <c r="G256" s="3" t="str">
        <f>VLOOKUP("lowdate",DateConstants,2)</f>
        <v>1850-01-01 00:00:00</v>
      </c>
      <c r="H256" s="3" t="str">
        <f>VLOOKUP("highdate",DateConstants,2)</f>
        <v>2999-12-31  23:59:59</v>
      </c>
      <c r="I256" s="5" t="s">
        <v>25</v>
      </c>
      <c r="J256" s="5" t="s">
        <v>26</v>
      </c>
      <c r="K256" t="str">
        <f>Constants!$B$4</f>
        <v>administrator@footballoracle.co.uk</v>
      </c>
      <c r="L256" s="2" t="str">
        <f t="shared" ca="1" si="70"/>
        <v>2014-08-22 08:22:04</v>
      </c>
      <c r="M256" t="str">
        <f t="shared" si="74"/>
        <v>administrator@footballoracle.co.uk</v>
      </c>
      <c r="N256" s="2" t="str">
        <f t="shared" ca="1" si="68"/>
        <v>2014-08-22 08:22:04</v>
      </c>
    </row>
    <row r="257" spans="1:14" x14ac:dyDescent="0.25">
      <c r="A257" t="str">
        <f t="shared" si="75"/>
        <v>AC0F6B66-61C0-4BBD-A83A-521EE4267215</v>
      </c>
      <c r="B257" t="str">
        <f>Country!A215</f>
        <v>CB3D5D60-8FA8-400B-BB5B-75613552AADA</v>
      </c>
      <c r="C257" s="5" t="s">
        <v>322</v>
      </c>
      <c r="D257" t="str">
        <f>OrganisationV!B$20</f>
        <v>C8DE6FCA-0B89-44DC-B684-F9ACB20258A1</v>
      </c>
      <c r="E257" t="s">
        <v>2</v>
      </c>
      <c r="F257" t="s">
        <v>2</v>
      </c>
      <c r="G257" s="3" t="str">
        <f>VLOOKUP("lowdate",DateConstants,2)</f>
        <v>1850-01-01 00:00:00</v>
      </c>
      <c r="H257" s="3" t="str">
        <f>VLOOKUP("highdate",DateConstants,2)</f>
        <v>2999-12-31  23:59:59</v>
      </c>
      <c r="I257" s="5" t="s">
        <v>25</v>
      </c>
      <c r="J257" s="5" t="s">
        <v>26</v>
      </c>
      <c r="K257" t="str">
        <f>Constants!$B$4</f>
        <v>administrator@footballoracle.co.uk</v>
      </c>
      <c r="L257" s="2" t="str">
        <f t="shared" ca="1" si="70"/>
        <v>2014-08-22 08:22:04</v>
      </c>
      <c r="M257" t="str">
        <f t="shared" si="74"/>
        <v>administrator@footballoracle.co.uk</v>
      </c>
      <c r="N257" s="2" t="str">
        <f t="shared" ca="1" si="68"/>
        <v>2014-08-22 08:22:04</v>
      </c>
    </row>
    <row r="258" spans="1:14" x14ac:dyDescent="0.25">
      <c r="A258" t="str">
        <f t="shared" si="75"/>
        <v>ECCE2ECE-0D81-44C3-BCAA-E75070EAD8FA</v>
      </c>
      <c r="B258" t="str">
        <f>Country!A216</f>
        <v>1CDD6867-A322-413E-892C-514594D718FD</v>
      </c>
      <c r="C258" s="5" t="s">
        <v>323</v>
      </c>
      <c r="D258" t="str">
        <f>OrganisationV!B$20</f>
        <v>C8DE6FCA-0B89-44DC-B684-F9ACB20258A1</v>
      </c>
      <c r="E258" t="s">
        <v>2</v>
      </c>
      <c r="F258" t="s">
        <v>2</v>
      </c>
      <c r="G258" s="3" t="str">
        <f>VLOOKUP("lowdate",DateConstants,2)</f>
        <v>1850-01-01 00:00:00</v>
      </c>
      <c r="H258" s="3">
        <v>8560.999988425925</v>
      </c>
      <c r="I258" s="5" t="s">
        <v>25</v>
      </c>
      <c r="J258" s="5" t="s">
        <v>26</v>
      </c>
      <c r="K258" t="str">
        <f>Constants!$B$4</f>
        <v>administrator@footballoracle.co.uk</v>
      </c>
      <c r="L258" s="2" t="str">
        <f t="shared" ca="1" si="70"/>
        <v>2014-08-22 08:22:04</v>
      </c>
      <c r="M258" t="str">
        <f t="shared" si="74"/>
        <v>administrator@footballoracle.co.uk</v>
      </c>
      <c r="N258" s="2" t="str">
        <f t="shared" ref="N258:N272" ca="1" si="80">TEXT(NOW(), "yyyy-MM-dd hh:mm:ss")</f>
        <v>2014-08-22 08:22:04</v>
      </c>
    </row>
    <row r="259" spans="1:14" x14ac:dyDescent="0.25">
      <c r="A259" t="str">
        <f t="shared" si="75"/>
        <v>67506ADB-7A66-41CE-968E-0615D0047A3F</v>
      </c>
      <c r="B259" t="str">
        <f>B258</f>
        <v>1CDD6867-A322-413E-892C-514594D718FD</v>
      </c>
      <c r="C259" s="5" t="s">
        <v>324</v>
      </c>
      <c r="D259" t="str">
        <f>OrganisationV!B$20</f>
        <v>C8DE6FCA-0B89-44DC-B684-F9ACB20258A1</v>
      </c>
      <c r="E259" t="s">
        <v>2</v>
      </c>
      <c r="F259" t="s">
        <v>2</v>
      </c>
      <c r="G259" s="3">
        <v>8561</v>
      </c>
      <c r="H259" s="3">
        <v>33397.999988425923</v>
      </c>
      <c r="I259" s="5" t="s">
        <v>25</v>
      </c>
      <c r="J259" s="5" t="s">
        <v>26</v>
      </c>
      <c r="K259" t="str">
        <f>Constants!$B$4</f>
        <v>administrator@footballoracle.co.uk</v>
      </c>
      <c r="L259" s="2" t="str">
        <f t="shared" ca="1" si="70"/>
        <v>2014-08-22 08:22:04</v>
      </c>
      <c r="M259" t="str">
        <f t="shared" si="74"/>
        <v>administrator@footballoracle.co.uk</v>
      </c>
      <c r="N259" s="2" t="str">
        <f t="shared" ca="1" si="80"/>
        <v>2014-08-22 08:22:04</v>
      </c>
    </row>
    <row r="260" spans="1:14" x14ac:dyDescent="0.25">
      <c r="A260" t="str">
        <f t="shared" si="75"/>
        <v>58ECE421-B62D-4041-89F4-85C5745AF5E0</v>
      </c>
      <c r="B260" t="str">
        <f>B258</f>
        <v>1CDD6867-A322-413E-892C-514594D718FD</v>
      </c>
      <c r="C260" s="5" t="s">
        <v>325</v>
      </c>
      <c r="D260" t="str">
        <f>OrganisationV!B$20</f>
        <v>C8DE6FCA-0B89-44DC-B684-F9ACB20258A1</v>
      </c>
      <c r="E260" t="s">
        <v>2</v>
      </c>
      <c r="F260" t="s">
        <v>2</v>
      </c>
      <c r="G260" s="3">
        <v>33398</v>
      </c>
      <c r="H260" s="3">
        <v>33763.999988425923</v>
      </c>
      <c r="I260" s="5" t="s">
        <v>25</v>
      </c>
      <c r="J260" s="5" t="s">
        <v>26</v>
      </c>
      <c r="K260" t="str">
        <f>Constants!$B$4</f>
        <v>administrator@footballoracle.co.uk</v>
      </c>
      <c r="L260" s="2" t="str">
        <f t="shared" ca="1" si="70"/>
        <v>2014-08-22 08:22:04</v>
      </c>
      <c r="M260" t="str">
        <f t="shared" si="74"/>
        <v>administrator@footballoracle.co.uk</v>
      </c>
      <c r="N260" s="2" t="str">
        <f t="shared" ca="1" si="80"/>
        <v>2014-08-22 08:22:04</v>
      </c>
    </row>
    <row r="261" spans="1:14" x14ac:dyDescent="0.25">
      <c r="A261" t="str">
        <f t="shared" si="75"/>
        <v>D225F5AE-2C19-4D0D-A1A8-A7D68F3CA57E</v>
      </c>
      <c r="B261" t="str">
        <f>B258</f>
        <v>1CDD6867-A322-413E-892C-514594D718FD</v>
      </c>
      <c r="C261" s="5" t="s">
        <v>323</v>
      </c>
      <c r="D261" t="str">
        <f>OrganisationV!B$20</f>
        <v>C8DE6FCA-0B89-44DC-B684-F9ACB20258A1</v>
      </c>
      <c r="E261" t="s">
        <v>2</v>
      </c>
      <c r="F261" t="s">
        <v>2</v>
      </c>
      <c r="G261" s="3">
        <v>33764</v>
      </c>
      <c r="H261" s="3" t="str">
        <f>VLOOKUP("highdate",DateConstants,2)</f>
        <v>2999-12-31  23:59:59</v>
      </c>
      <c r="I261" s="5" t="s">
        <v>25</v>
      </c>
      <c r="J261" s="5" t="s">
        <v>26</v>
      </c>
      <c r="K261" t="str">
        <f>Constants!$B$4</f>
        <v>administrator@footballoracle.co.uk</v>
      </c>
      <c r="L261" s="2" t="str">
        <f t="shared" ca="1" si="70"/>
        <v>2014-08-22 08:22:04</v>
      </c>
      <c r="M261" t="str">
        <f t="shared" si="74"/>
        <v>administrator@footballoracle.co.uk</v>
      </c>
      <c r="N261" s="2" t="str">
        <f t="shared" ca="1" si="80"/>
        <v>2014-08-22 08:22:04</v>
      </c>
    </row>
    <row r="262" spans="1:14" x14ac:dyDescent="0.25">
      <c r="A262" t="str">
        <f t="shared" si="75"/>
        <v>563583AE-E6C4-4143-815C-122EBFC575E3</v>
      </c>
      <c r="B262" t="str">
        <f>Country!A217</f>
        <v>64AEC4EB-B7CD-4660-916E-A6E7C3E4A969</v>
      </c>
      <c r="C262" s="5" t="s">
        <v>326</v>
      </c>
      <c r="D262" t="str">
        <f>OrganisationV!B$20</f>
        <v>C8DE6FCA-0B89-44DC-B684-F9ACB20258A1</v>
      </c>
      <c r="E262" t="s">
        <v>2</v>
      </c>
      <c r="F262" t="s">
        <v>2</v>
      </c>
      <c r="G262" s="3">
        <v>18423</v>
      </c>
      <c r="H262" s="3">
        <v>20614.999988425927</v>
      </c>
      <c r="I262" s="5" t="s">
        <v>25</v>
      </c>
      <c r="J262" s="5" t="s">
        <v>26</v>
      </c>
      <c r="K262" t="str">
        <f>Constants!$B$4</f>
        <v>administrator@footballoracle.co.uk</v>
      </c>
      <c r="L262" s="2" t="str">
        <f t="shared" ca="1" si="70"/>
        <v>2014-08-22 08:22:04</v>
      </c>
      <c r="M262" t="str">
        <f t="shared" si="74"/>
        <v>administrator@footballoracle.co.uk</v>
      </c>
      <c r="N262" s="2" t="str">
        <f t="shared" ca="1" si="80"/>
        <v>2014-08-22 08:22:04</v>
      </c>
    </row>
    <row r="263" spans="1:14" x14ac:dyDescent="0.25">
      <c r="A263" t="str">
        <f t="shared" si="75"/>
        <v>7E75D5B1-E648-4D3D-80F3-8C19D07EC112</v>
      </c>
      <c r="B263" t="str">
        <f>Country!A218</f>
        <v>21C6F890-1EF1-4078-B97E-A1315ECDFA43</v>
      </c>
      <c r="C263" s="5" t="s">
        <v>327</v>
      </c>
      <c r="D263" t="str">
        <f>OrganisationV!B$20</f>
        <v>C8DE6FCA-0B89-44DC-B684-F9ACB20258A1</v>
      </c>
      <c r="E263" t="s">
        <v>2</v>
      </c>
      <c r="F263" t="s">
        <v>2</v>
      </c>
      <c r="G263" s="3" t="str">
        <f t="shared" ref="G263:G272" si="81">VLOOKUP("lowdate",DateConstants,2)</f>
        <v>1850-01-01 00:00:00</v>
      </c>
      <c r="H263" s="3" t="str">
        <f t="shared" ref="H263:H272" si="82">VLOOKUP("highdate",DateConstants,2)</f>
        <v>2999-12-31  23:59:59</v>
      </c>
      <c r="I263" s="5" t="s">
        <v>25</v>
      </c>
      <c r="J263" s="5" t="s">
        <v>26</v>
      </c>
      <c r="K263" t="str">
        <f>Constants!$B$4</f>
        <v>administrator@footballoracle.co.uk</v>
      </c>
      <c r="L263" s="2" t="str">
        <f t="shared" ca="1" si="70"/>
        <v>2014-08-22 08:22:04</v>
      </c>
      <c r="M263" t="str">
        <f t="shared" si="74"/>
        <v>administrator@footballoracle.co.uk</v>
      </c>
      <c r="N263" s="2" t="str">
        <f t="shared" ca="1" si="80"/>
        <v>2014-08-22 08:22:04</v>
      </c>
    </row>
    <row r="264" spans="1:14" x14ac:dyDescent="0.25">
      <c r="A264" t="str">
        <f t="shared" si="75"/>
        <v>543BEE92-B5D0-422A-B87B-D03EE4D79B29</v>
      </c>
      <c r="B264" t="str">
        <f>Country!A219</f>
        <v>D8D7B16F-BAB9-4A1B-8C61-3C5B7CAA6D45</v>
      </c>
      <c r="C264" s="5" t="s">
        <v>328</v>
      </c>
      <c r="D264" t="str">
        <f>OrganisationV!B$20</f>
        <v>C8DE6FCA-0B89-44DC-B684-F9ACB20258A1</v>
      </c>
      <c r="E264" t="s">
        <v>2</v>
      </c>
      <c r="F264" t="s">
        <v>2</v>
      </c>
      <c r="G264" s="3" t="str">
        <f t="shared" si="81"/>
        <v>1850-01-01 00:00:00</v>
      </c>
      <c r="H264" s="3" t="str">
        <f t="shared" si="82"/>
        <v>2999-12-31  23:59:59</v>
      </c>
      <c r="I264" s="5" t="s">
        <v>25</v>
      </c>
      <c r="J264" s="5" t="s">
        <v>26</v>
      </c>
      <c r="K264" t="str">
        <f>Constants!$B$4</f>
        <v>administrator@footballoracle.co.uk</v>
      </c>
      <c r="L264" s="2" t="str">
        <f t="shared" ca="1" si="70"/>
        <v>2014-08-22 08:22:04</v>
      </c>
      <c r="M264" t="str">
        <f t="shared" si="74"/>
        <v>administrator@footballoracle.co.uk</v>
      </c>
      <c r="N264" s="2" t="str">
        <f t="shared" ca="1" si="80"/>
        <v>2014-08-22 08:22:04</v>
      </c>
    </row>
    <row r="265" spans="1:14" x14ac:dyDescent="0.25">
      <c r="A265" t="str">
        <f t="shared" si="75"/>
        <v>0E6DED66-C3E1-4758-AFD5-4CBE8DD2E03C</v>
      </c>
      <c r="B265" t="str">
        <f>Country!A220</f>
        <v>34ABED8D-B06C-4522-864C-E7B6AE7832FC</v>
      </c>
      <c r="C265" s="5" t="s">
        <v>329</v>
      </c>
      <c r="D265" t="str">
        <f>OrganisationV!B$20</f>
        <v>C8DE6FCA-0B89-44DC-B684-F9ACB20258A1</v>
      </c>
      <c r="E265" t="s">
        <v>2</v>
      </c>
      <c r="F265" t="s">
        <v>2</v>
      </c>
      <c r="G265" s="3" t="str">
        <f t="shared" si="81"/>
        <v>1850-01-01 00:00:00</v>
      </c>
      <c r="H265" s="3" t="str">
        <f t="shared" si="82"/>
        <v>2999-12-31  23:59:59</v>
      </c>
      <c r="I265" s="5" t="s">
        <v>25</v>
      </c>
      <c r="J265" s="5" t="s">
        <v>26</v>
      </c>
      <c r="K265" t="str">
        <f>Constants!$B$4</f>
        <v>administrator@footballoracle.co.uk</v>
      </c>
      <c r="L265" s="2" t="str">
        <f t="shared" ca="1" si="70"/>
        <v>2014-08-22 08:22:04</v>
      </c>
      <c r="M265" t="str">
        <f t="shared" si="74"/>
        <v>administrator@footballoracle.co.uk</v>
      </c>
      <c r="N265" s="2" t="str">
        <f t="shared" ca="1" si="80"/>
        <v>2014-08-22 08:22:04</v>
      </c>
    </row>
    <row r="266" spans="1:14" x14ac:dyDescent="0.25">
      <c r="A266" t="str">
        <f t="shared" si="75"/>
        <v>0A23CEDD-A930-4252-9CE8-CA50E13286C0</v>
      </c>
      <c r="B266" t="str">
        <f>Country!A221</f>
        <v>5F15D4EA-8A04-49FF-A230-8C1B3C2C725C</v>
      </c>
      <c r="C266" s="5" t="s">
        <v>330</v>
      </c>
      <c r="D266" t="str">
        <f>OrganisationV!B$20</f>
        <v>C8DE6FCA-0B89-44DC-B684-F9ACB20258A1</v>
      </c>
      <c r="E266" t="s">
        <v>2</v>
      </c>
      <c r="F266" t="s">
        <v>2</v>
      </c>
      <c r="G266" s="3" t="str">
        <f t="shared" si="81"/>
        <v>1850-01-01 00:00:00</v>
      </c>
      <c r="H266" s="3" t="str">
        <f t="shared" si="82"/>
        <v>2999-12-31  23:59:59</v>
      </c>
      <c r="I266" s="5" t="s">
        <v>25</v>
      </c>
      <c r="J266" s="5" t="s">
        <v>26</v>
      </c>
      <c r="K266" t="str">
        <f>Constants!$B$4</f>
        <v>administrator@footballoracle.co.uk</v>
      </c>
      <c r="L266" s="2" t="str">
        <f t="shared" ca="1" si="70"/>
        <v>2014-08-22 08:22:04</v>
      </c>
      <c r="M266" t="str">
        <f t="shared" si="74"/>
        <v>administrator@footballoracle.co.uk</v>
      </c>
      <c r="N266" s="2" t="str">
        <f t="shared" ca="1" si="80"/>
        <v>2014-08-22 08:22:04</v>
      </c>
    </row>
    <row r="267" spans="1:14" x14ac:dyDescent="0.25">
      <c r="A267" t="str">
        <f t="shared" si="75"/>
        <v>6AD32AFD-8845-4AD0-944A-F034C40696E5</v>
      </c>
      <c r="B267" t="str">
        <f>Country!A222</f>
        <v>10CEB230-A8D1-47C4-88EB-C3B34B25DC37</v>
      </c>
      <c r="C267" s="5" t="s">
        <v>331</v>
      </c>
      <c r="D267" t="str">
        <f>OrganisationV!B$20</f>
        <v>C8DE6FCA-0B89-44DC-B684-F9ACB20258A1</v>
      </c>
      <c r="E267" t="s">
        <v>2</v>
      </c>
      <c r="F267" t="s">
        <v>2</v>
      </c>
      <c r="G267" s="3" t="str">
        <f t="shared" si="81"/>
        <v>1850-01-01 00:00:00</v>
      </c>
      <c r="H267" s="3" t="str">
        <f t="shared" si="82"/>
        <v>2999-12-31  23:59:59</v>
      </c>
      <c r="I267" s="5" t="s">
        <v>25</v>
      </c>
      <c r="J267" s="5" t="s">
        <v>26</v>
      </c>
      <c r="K267" t="str">
        <f>Constants!$B$4</f>
        <v>administrator@footballoracle.co.uk</v>
      </c>
      <c r="L267" s="2" t="str">
        <f t="shared" ca="1" si="70"/>
        <v>2014-08-22 08:22:04</v>
      </c>
      <c r="M267" t="str">
        <f t="shared" si="74"/>
        <v>administrator@footballoracle.co.uk</v>
      </c>
      <c r="N267" s="2" t="str">
        <f t="shared" ca="1" si="80"/>
        <v>2014-08-22 08:22:04</v>
      </c>
    </row>
    <row r="268" spans="1:14" x14ac:dyDescent="0.25">
      <c r="A268" t="str">
        <f t="shared" si="75"/>
        <v>0CF0B40A-BC0B-47EC-9589-EA749255E83C</v>
      </c>
      <c r="B268" t="str">
        <f>Country!A223</f>
        <v>0FCD5BBE-48E6-4117-B61B-D401F7728AB7</v>
      </c>
      <c r="C268" s="5" t="s">
        <v>332</v>
      </c>
      <c r="D268" t="str">
        <f>OrganisationV!B$20</f>
        <v>C8DE6FCA-0B89-44DC-B684-F9ACB20258A1</v>
      </c>
      <c r="E268" t="s">
        <v>2</v>
      </c>
      <c r="F268" t="s">
        <v>2</v>
      </c>
      <c r="G268" s="3" t="str">
        <f t="shared" si="81"/>
        <v>1850-01-01 00:00:00</v>
      </c>
      <c r="H268" s="3" t="str">
        <f t="shared" si="82"/>
        <v>2999-12-31  23:59:59</v>
      </c>
      <c r="I268" s="5" t="s">
        <v>25</v>
      </c>
      <c r="J268" s="5" t="s">
        <v>26</v>
      </c>
      <c r="K268" t="str">
        <f>Constants!$B$4</f>
        <v>administrator@footballoracle.co.uk</v>
      </c>
      <c r="L268" s="2" t="str">
        <f t="shared" ref="L268:L272" ca="1" si="83">TEXT(NOW(), "yyyy-MM-dd hh:mm:ss")</f>
        <v>2014-08-22 08:22:04</v>
      </c>
      <c r="M268" t="str">
        <f t="shared" si="74"/>
        <v>administrator@footballoracle.co.uk</v>
      </c>
      <c r="N268" s="2" t="str">
        <f t="shared" ca="1" si="80"/>
        <v>2014-08-22 08:22:04</v>
      </c>
    </row>
    <row r="269" spans="1:14" x14ac:dyDescent="0.25">
      <c r="A269" t="str">
        <f t="shared" si="75"/>
        <v>C137AD99-CF29-4FE9-9D6A-E6B1EDADCEEE</v>
      </c>
      <c r="B269" t="str">
        <f>Country!A224</f>
        <v>9502CFB5-9578-4A8E-AEE6-2CB184A6D618</v>
      </c>
      <c r="C269" s="5" t="s">
        <v>333</v>
      </c>
      <c r="D269" t="str">
        <f>OrganisationV!B$20</f>
        <v>C8DE6FCA-0B89-44DC-B684-F9ACB20258A1</v>
      </c>
      <c r="E269" t="s">
        <v>2</v>
      </c>
      <c r="F269" t="s">
        <v>2</v>
      </c>
      <c r="G269" s="3" t="str">
        <f t="shared" si="81"/>
        <v>1850-01-01 00:00:00</v>
      </c>
      <c r="H269" s="3" t="str">
        <f t="shared" si="82"/>
        <v>2999-12-31  23:59:59</v>
      </c>
      <c r="I269" s="5" t="s">
        <v>25</v>
      </c>
      <c r="J269" s="5" t="s">
        <v>26</v>
      </c>
      <c r="K269" t="str">
        <f>Constants!$B$4</f>
        <v>administrator@footballoracle.co.uk</v>
      </c>
      <c r="L269" s="2" t="str">
        <f t="shared" ca="1" si="83"/>
        <v>2014-08-22 08:22:04</v>
      </c>
      <c r="M269" t="str">
        <f t="shared" si="74"/>
        <v>administrator@footballoracle.co.uk</v>
      </c>
      <c r="N269" s="2" t="str">
        <f t="shared" ca="1" si="80"/>
        <v>2014-08-22 08:22:04</v>
      </c>
    </row>
    <row r="270" spans="1:14" x14ac:dyDescent="0.25">
      <c r="A270" t="str">
        <f t="shared" si="75"/>
        <v>6743A244-DE8C-4112-9CCC-0FA8B26FCD0C</v>
      </c>
      <c r="B270" t="str">
        <f>Country!A225</f>
        <v>39447E34-2DAF-40D0-8CBB-1A5C936C723A</v>
      </c>
      <c r="C270" s="5" t="s">
        <v>334</v>
      </c>
      <c r="D270" t="str">
        <f>OrganisationV!B$20</f>
        <v>C8DE6FCA-0B89-44DC-B684-F9ACB20258A1</v>
      </c>
      <c r="E270" t="s">
        <v>2</v>
      </c>
      <c r="F270" t="s">
        <v>2</v>
      </c>
      <c r="G270" s="3" t="str">
        <f t="shared" si="81"/>
        <v>1850-01-01 00:00:00</v>
      </c>
      <c r="H270" s="3" t="str">
        <f t="shared" si="82"/>
        <v>2999-12-31  23:59:59</v>
      </c>
      <c r="I270" s="5" t="s">
        <v>25</v>
      </c>
      <c r="J270" s="5" t="s">
        <v>26</v>
      </c>
      <c r="K270" t="str">
        <f>Constants!$B$4</f>
        <v>administrator@footballoracle.co.uk</v>
      </c>
      <c r="L270" s="2" t="str">
        <f t="shared" ca="1" si="83"/>
        <v>2014-08-22 08:22:04</v>
      </c>
      <c r="M270" t="str">
        <f t="shared" si="74"/>
        <v>administrator@footballoracle.co.uk</v>
      </c>
      <c r="N270" s="2" t="str">
        <f t="shared" ca="1" si="80"/>
        <v>2014-08-22 08:22:04</v>
      </c>
    </row>
    <row r="271" spans="1:14" x14ac:dyDescent="0.25">
      <c r="A271" t="str">
        <f t="shared" si="75"/>
        <v>5B258D7D-C3DB-47D4-958D-1739B6D98AC8</v>
      </c>
      <c r="B271" t="str">
        <f>Country!A226</f>
        <v>2FC8716F-37AD-443C-AA10-A60B032714D1</v>
      </c>
      <c r="C271" s="5" t="s">
        <v>335</v>
      </c>
      <c r="D271" t="str">
        <f>OrganisationV!B$20</f>
        <v>C8DE6FCA-0B89-44DC-B684-F9ACB20258A1</v>
      </c>
      <c r="E271" t="s">
        <v>2</v>
      </c>
      <c r="F271" t="s">
        <v>2</v>
      </c>
      <c r="G271" s="3" t="str">
        <f t="shared" si="81"/>
        <v>1850-01-01 00:00:00</v>
      </c>
      <c r="H271" s="3" t="str">
        <f t="shared" si="82"/>
        <v>2999-12-31  23:59:59</v>
      </c>
      <c r="I271" s="5" t="s">
        <v>25</v>
      </c>
      <c r="J271" s="5" t="s">
        <v>26</v>
      </c>
      <c r="K271" t="str">
        <f>Constants!$B$4</f>
        <v>administrator@footballoracle.co.uk</v>
      </c>
      <c r="L271" s="2" t="str">
        <f t="shared" ca="1" si="83"/>
        <v>2014-08-22 08:22:04</v>
      </c>
      <c r="M271" t="str">
        <f t="shared" si="74"/>
        <v>administrator@footballoracle.co.uk</v>
      </c>
      <c r="N271" s="2" t="str">
        <f t="shared" ca="1" si="80"/>
        <v>2014-08-22 08:22:04</v>
      </c>
    </row>
    <row r="272" spans="1:14" x14ac:dyDescent="0.25">
      <c r="A272" t="str">
        <f t="shared" si="75"/>
        <v>B5814C7A-CB56-4A6A-B9AD-3E71CC6C163C</v>
      </c>
      <c r="B272" t="str">
        <f>Country!A227</f>
        <v>5DDCC995-5366-4838-951D-917483CE6B9A</v>
      </c>
      <c r="C272" s="5" t="s">
        <v>336</v>
      </c>
      <c r="D272" t="str">
        <f>OrganisationV!B$20</f>
        <v>C8DE6FCA-0B89-44DC-B684-F9ACB20258A1</v>
      </c>
      <c r="E272" t="s">
        <v>2</v>
      </c>
      <c r="F272" t="s">
        <v>2</v>
      </c>
      <c r="G272" s="3" t="str">
        <f t="shared" si="81"/>
        <v>1850-01-01 00:00:00</v>
      </c>
      <c r="H272" s="3" t="str">
        <f t="shared" si="82"/>
        <v>2999-12-31  23:59:59</v>
      </c>
      <c r="I272" s="5" t="s">
        <v>25</v>
      </c>
      <c r="J272" s="5" t="s">
        <v>26</v>
      </c>
      <c r="K272" t="str">
        <f>Constants!$B$4</f>
        <v>administrator@footballoracle.co.uk</v>
      </c>
      <c r="L272" s="2" t="str">
        <f t="shared" ca="1" si="83"/>
        <v>2014-08-22 08:22:04</v>
      </c>
      <c r="M272" t="str">
        <f t="shared" si="74"/>
        <v>administrator@footballoracle.co.uk</v>
      </c>
      <c r="N272" s="2" t="str">
        <f t="shared" ca="1" si="80"/>
        <v>2014-08-22 08:22:04</v>
      </c>
    </row>
    <row r="273" spans="3:14" x14ac:dyDescent="0.25">
      <c r="C273" s="5"/>
      <c r="I273" s="5"/>
      <c r="J273" s="5"/>
      <c r="L273" s="2"/>
      <c r="N273" s="2"/>
    </row>
    <row r="274" spans="3:14" x14ac:dyDescent="0.25">
      <c r="C274" s="5"/>
      <c r="I274" s="5"/>
      <c r="J274" s="5"/>
      <c r="L274" s="2"/>
      <c r="N274" s="2"/>
    </row>
    <row r="275" spans="3:14" x14ac:dyDescent="0.25">
      <c r="C275" s="5"/>
      <c r="I275" s="5"/>
      <c r="J275" s="5"/>
      <c r="L275" s="2"/>
      <c r="N275" s="2"/>
    </row>
    <row r="276" spans="3:14" x14ac:dyDescent="0.25">
      <c r="C276" s="5"/>
      <c r="I276" s="5"/>
      <c r="J276" s="5"/>
      <c r="L276" s="2"/>
      <c r="N276" s="2"/>
    </row>
    <row r="277" spans="3:14" x14ac:dyDescent="0.25">
      <c r="C277" s="5"/>
      <c r="I277" s="5"/>
      <c r="J277" s="5"/>
      <c r="L277" s="2"/>
      <c r="N277" s="2"/>
    </row>
    <row r="278" spans="3:14" x14ac:dyDescent="0.25">
      <c r="C278" s="5"/>
      <c r="I278" s="5"/>
      <c r="J278" s="5"/>
      <c r="L278" s="2"/>
      <c r="N278" s="2"/>
    </row>
    <row r="279" spans="3:14" x14ac:dyDescent="0.25">
      <c r="C279" s="5"/>
      <c r="I279" s="5"/>
      <c r="J279" s="5"/>
      <c r="L279" s="2"/>
      <c r="N279" s="2"/>
    </row>
    <row r="280" spans="3:14" x14ac:dyDescent="0.25">
      <c r="C280" s="5"/>
      <c r="I280" s="5"/>
      <c r="J280" s="5"/>
      <c r="L280" s="2"/>
      <c r="N280" s="2"/>
    </row>
    <row r="281" spans="3:14" x14ac:dyDescent="0.25">
      <c r="C281" s="5"/>
      <c r="I281" s="5"/>
      <c r="J281" s="5"/>
      <c r="L281" s="2"/>
      <c r="N281" s="2"/>
    </row>
    <row r="282" spans="3:14" x14ac:dyDescent="0.25">
      <c r="C282" s="5"/>
      <c r="I282" s="5"/>
      <c r="J282" s="5"/>
      <c r="L282" s="2"/>
      <c r="N282" s="2"/>
    </row>
    <row r="283" spans="3:14" x14ac:dyDescent="0.25">
      <c r="C283" s="5"/>
      <c r="I283" s="5"/>
      <c r="J283" s="5"/>
      <c r="L283" s="2"/>
      <c r="N283" s="2"/>
    </row>
    <row r="284" spans="3:14" x14ac:dyDescent="0.25">
      <c r="C284" s="5"/>
      <c r="I284" s="5"/>
      <c r="J284" s="5"/>
      <c r="L284" s="2"/>
      <c r="N284" s="2"/>
    </row>
    <row r="285" spans="3:14" x14ac:dyDescent="0.25">
      <c r="C285" s="5"/>
      <c r="I285" s="5"/>
      <c r="J285" s="5"/>
      <c r="L285" s="2"/>
      <c r="N285" s="2"/>
    </row>
    <row r="286" spans="3:14" x14ac:dyDescent="0.25">
      <c r="C286" s="5"/>
      <c r="I286" s="5"/>
      <c r="J286" s="5"/>
      <c r="L286" s="2"/>
      <c r="N286" s="2"/>
    </row>
    <row r="287" spans="3:14" x14ac:dyDescent="0.25">
      <c r="C287" s="5"/>
      <c r="I287" s="5"/>
      <c r="J287" s="5"/>
      <c r="L287" s="2"/>
      <c r="N287" s="2"/>
    </row>
    <row r="288" spans="3:14" x14ac:dyDescent="0.25">
      <c r="C288" s="5"/>
      <c r="I288" s="5"/>
      <c r="J288" s="5"/>
      <c r="L288" s="2"/>
      <c r="N288" s="2"/>
    </row>
    <row r="289" spans="3:14" x14ac:dyDescent="0.25">
      <c r="C289" s="5"/>
      <c r="I289" s="5"/>
      <c r="J289" s="5"/>
      <c r="L289" s="2"/>
      <c r="N289" s="2"/>
    </row>
    <row r="290" spans="3:14" x14ac:dyDescent="0.25">
      <c r="C290" s="5"/>
      <c r="I290" s="5"/>
      <c r="J290" s="5"/>
      <c r="L290" s="2"/>
      <c r="N290" s="2"/>
    </row>
    <row r="291" spans="3:14" x14ac:dyDescent="0.25">
      <c r="C291" s="5"/>
      <c r="I291" s="5"/>
      <c r="J291" s="5"/>
      <c r="L291" s="2"/>
      <c r="N291" s="2"/>
    </row>
    <row r="292" spans="3:14" x14ac:dyDescent="0.25">
      <c r="C292" s="5"/>
      <c r="I292" s="5"/>
      <c r="J292" s="5"/>
      <c r="L292" s="2"/>
      <c r="N292" s="2"/>
    </row>
    <row r="293" spans="3:14" x14ac:dyDescent="0.25">
      <c r="C293" s="5"/>
      <c r="I293" s="5"/>
      <c r="J293" s="5"/>
      <c r="L293" s="2"/>
      <c r="N293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1"/>
  <sheetViews>
    <sheetView workbookViewId="0">
      <selection activeCell="A2" sqref="A2"/>
    </sheetView>
  </sheetViews>
  <sheetFormatPr defaultRowHeight="15" x14ac:dyDescent="0.25"/>
  <cols>
    <col min="1" max="1" width="38.85546875" bestFit="1" customWidth="1"/>
  </cols>
  <sheetData>
    <row r="1" spans="1:1" s="1" customFormat="1" x14ac:dyDescent="0.25">
      <c r="A1" s="1" t="s">
        <v>337</v>
      </c>
    </row>
    <row r="2" spans="1:1" x14ac:dyDescent="0.25">
      <c r="A2" t="s">
        <v>615</v>
      </c>
    </row>
    <row r="3" spans="1:1" x14ac:dyDescent="0.25">
      <c r="A3" t="s">
        <v>616</v>
      </c>
    </row>
    <row r="4" spans="1:1" x14ac:dyDescent="0.25">
      <c r="A4" t="s">
        <v>617</v>
      </c>
    </row>
    <row r="5" spans="1:1" x14ac:dyDescent="0.25">
      <c r="A5" t="s">
        <v>618</v>
      </c>
    </row>
    <row r="6" spans="1:1" x14ac:dyDescent="0.25">
      <c r="A6" t="s">
        <v>619</v>
      </c>
    </row>
    <row r="7" spans="1:1" x14ac:dyDescent="0.25">
      <c r="A7" t="s">
        <v>620</v>
      </c>
    </row>
    <row r="8" spans="1:1" x14ac:dyDescent="0.25">
      <c r="A8" t="s">
        <v>621</v>
      </c>
    </row>
    <row r="9" spans="1:1" x14ac:dyDescent="0.25">
      <c r="A9" t="s">
        <v>622</v>
      </c>
    </row>
    <row r="10" spans="1:1" x14ac:dyDescent="0.25">
      <c r="A10" t="s">
        <v>623</v>
      </c>
    </row>
    <row r="11" spans="1:1" x14ac:dyDescent="0.25">
      <c r="A11" t="s">
        <v>624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4"/>
  <sheetViews>
    <sheetView tabSelected="1" workbookViewId="0">
      <selection activeCell="B22" sqref="B22"/>
    </sheetView>
  </sheetViews>
  <sheetFormatPr defaultRowHeight="15" x14ac:dyDescent="0.25"/>
  <cols>
    <col min="1" max="1" width="40.140625" bestFit="1" customWidth="1"/>
    <col min="2" max="2" width="39.42578125" bestFit="1" customWidth="1"/>
    <col min="3" max="3" width="35" bestFit="1" customWidth="1"/>
    <col min="4" max="4" width="39.5703125" bestFit="1" customWidth="1"/>
    <col min="5" max="5" width="21" bestFit="1" customWidth="1"/>
    <col min="6" max="6" width="20.140625" bestFit="1" customWidth="1"/>
    <col min="7" max="7" width="12.42578125" bestFit="1" customWidth="1"/>
    <col min="8" max="8" width="18.28515625" bestFit="1" customWidth="1"/>
    <col min="9" max="9" width="18.7109375" bestFit="1" customWidth="1"/>
    <col min="10" max="10" width="20.140625" bestFit="1" customWidth="1"/>
    <col min="11" max="11" width="8" bestFit="1" customWidth="1"/>
    <col min="12" max="12" width="33.28515625" bestFit="1" customWidth="1"/>
    <col min="13" max="13" width="18.28515625" bestFit="1" customWidth="1"/>
    <col min="14" max="14" width="33.28515625" bestFit="1" customWidth="1"/>
    <col min="15" max="15" width="18.28515625" bestFit="1" customWidth="1"/>
  </cols>
  <sheetData>
    <row r="1" spans="1:15" s="1" customFormat="1" x14ac:dyDescent="0.25">
      <c r="A1" s="1" t="s">
        <v>8</v>
      </c>
      <c r="B1" s="1" t="s">
        <v>9</v>
      </c>
      <c r="C1" s="1" t="s">
        <v>338</v>
      </c>
      <c r="D1" s="1" t="s">
        <v>28</v>
      </c>
      <c r="E1" s="1" t="s">
        <v>339</v>
      </c>
      <c r="F1" s="1" t="s">
        <v>340</v>
      </c>
      <c r="G1" s="1" t="s">
        <v>14</v>
      </c>
      <c r="H1" s="8" t="s">
        <v>15</v>
      </c>
      <c r="I1" s="8" t="s">
        <v>16</v>
      </c>
      <c r="J1" s="1" t="s">
        <v>17</v>
      </c>
      <c r="K1" s="1" t="s">
        <v>18</v>
      </c>
      <c r="L1" s="1" t="s">
        <v>19</v>
      </c>
      <c r="M1" s="4" t="s">
        <v>20</v>
      </c>
      <c r="N1" s="1" t="s">
        <v>21</v>
      </c>
      <c r="O1" s="4" t="s">
        <v>22</v>
      </c>
    </row>
    <row r="2" spans="1:15" x14ac:dyDescent="0.25">
      <c r="A2" t="str">
        <f t="shared" ref="A2:A21" si="0">GetGuid()</f>
        <v>8E7EFFCF-9620-455E-951E-2EBF34D7D60F</v>
      </c>
      <c r="B2" t="str">
        <f>Competition!A2</f>
        <v>705E2255-4311-483B-AEEE-909298393B0C</v>
      </c>
      <c r="C2" s="5" t="s">
        <v>45</v>
      </c>
      <c r="D2" t="str">
        <f>OrganisationV!B21</f>
        <v>5F0B3BE5-7F62-43BA-94CE-ACA280E1B269</v>
      </c>
      <c r="E2">
        <v>1</v>
      </c>
      <c r="F2">
        <v>3</v>
      </c>
      <c r="G2" t="s">
        <v>2</v>
      </c>
      <c r="H2" s="3">
        <v>33764</v>
      </c>
      <c r="I2" s="3" t="str">
        <f>VLOOKUP("highdate",DateConstants,2)</f>
        <v>2999-12-31  23:59:59</v>
      </c>
      <c r="J2" s="5" t="s">
        <v>25</v>
      </c>
      <c r="K2" s="5" t="s">
        <v>26</v>
      </c>
      <c r="L2" t="str">
        <f>Constants!$B$4</f>
        <v>administrator@footballoracle.co.uk</v>
      </c>
      <c r="M2" s="2" t="str">
        <f t="shared" ref="M2:M21" ca="1" si="1">TEXT(NOW(), "yyyy-MM-dd hh:mm:ss")</f>
        <v>2014-08-22 08:22:04</v>
      </c>
      <c r="N2" t="str">
        <f t="shared" ref="N2:N21" si="2">L2</f>
        <v>administrator@footballoracle.co.uk</v>
      </c>
      <c r="O2" s="2" t="str">
        <f t="shared" ref="O2:O24" ca="1" si="3">TEXT(NOW(), "yyyy-MM-dd hh:mm:ss")</f>
        <v>2014-08-22 08:22:04</v>
      </c>
    </row>
    <row r="3" spans="1:15" x14ac:dyDescent="0.25">
      <c r="A3" t="str">
        <f t="shared" si="0"/>
        <v>0961DC11-E36A-480D-8AAB-989736BA48C0</v>
      </c>
      <c r="B3" t="str">
        <f>Competition!A3</f>
        <v>A5B763EF-EB9A-4CEB-BFA4-DDBBD7EA9D9A</v>
      </c>
      <c r="C3" s="5" t="s">
        <v>342</v>
      </c>
      <c r="D3" t="str">
        <f>OrganisationV!B$22</f>
        <v>367EE563-68EB-444C-8E40-C1C2875BF63D</v>
      </c>
      <c r="E3">
        <v>1</v>
      </c>
      <c r="F3">
        <v>3</v>
      </c>
      <c r="G3" t="s">
        <v>2</v>
      </c>
      <c r="H3" s="3" t="s">
        <v>343</v>
      </c>
      <c r="I3" s="3" t="s">
        <v>344</v>
      </c>
      <c r="J3" s="5" t="s">
        <v>25</v>
      </c>
      <c r="K3" s="5" t="s">
        <v>26</v>
      </c>
      <c r="L3" t="str">
        <f>Constants!$B$4</f>
        <v>administrator@footballoracle.co.uk</v>
      </c>
      <c r="M3" s="2" t="str">
        <f t="shared" ca="1" si="1"/>
        <v>2014-08-22 08:22:04</v>
      </c>
      <c r="N3" t="str">
        <f t="shared" si="2"/>
        <v>administrator@footballoracle.co.uk</v>
      </c>
      <c r="O3" s="2" t="str">
        <f t="shared" ca="1" si="3"/>
        <v>2014-08-22 08:22:04</v>
      </c>
    </row>
    <row r="4" spans="1:15" x14ac:dyDescent="0.25">
      <c r="A4" t="str">
        <f t="shared" si="0"/>
        <v>D2051FF8-54C8-4D36-B89D-D2FF3A6A04E5</v>
      </c>
      <c r="B4" t="str">
        <f>B3</f>
        <v>A5B763EF-EB9A-4CEB-BFA4-DDBBD7EA9D9A</v>
      </c>
      <c r="C4" s="5" t="s">
        <v>345</v>
      </c>
      <c r="D4" t="str">
        <f>OrganisationV!B$22</f>
        <v>367EE563-68EB-444C-8E40-C1C2875BF63D</v>
      </c>
      <c r="E4">
        <v>1</v>
      </c>
      <c r="F4">
        <v>3</v>
      </c>
      <c r="G4" t="s">
        <v>2</v>
      </c>
      <c r="H4" s="3" t="s">
        <v>346</v>
      </c>
      <c r="I4" s="3">
        <v>33763.999988425923</v>
      </c>
      <c r="J4" s="5" t="s">
        <v>25</v>
      </c>
      <c r="K4" s="5" t="s">
        <v>26</v>
      </c>
      <c r="L4" t="str">
        <f>Constants!$B$4</f>
        <v>administrator@footballoracle.co.uk</v>
      </c>
      <c r="M4" s="2" t="str">
        <f t="shared" ca="1" si="1"/>
        <v>2014-08-22 08:22:04</v>
      </c>
      <c r="N4" t="str">
        <f t="shared" si="2"/>
        <v>administrator@footballoracle.co.uk</v>
      </c>
      <c r="O4" s="2" t="str">
        <f t="shared" ca="1" si="3"/>
        <v>2014-08-22 08:22:04</v>
      </c>
    </row>
    <row r="5" spans="1:15" x14ac:dyDescent="0.25">
      <c r="A5" t="str">
        <f t="shared" si="0"/>
        <v>18162945-A142-483E-A0B5-3A593B03656D</v>
      </c>
      <c r="B5" t="str">
        <f>Competition!A4</f>
        <v>6E827022-002E-4CEE-A0D0-BA69CE1D3B84</v>
      </c>
      <c r="C5" s="5" t="s">
        <v>347</v>
      </c>
      <c r="D5" t="str">
        <f>OrganisationV!B$22</f>
        <v>367EE563-68EB-444C-8E40-C1C2875BF63D</v>
      </c>
      <c r="E5">
        <v>1</v>
      </c>
      <c r="F5">
        <v>3</v>
      </c>
      <c r="G5" t="s">
        <v>2</v>
      </c>
      <c r="H5" s="3" t="s">
        <v>346</v>
      </c>
      <c r="I5" s="3">
        <v>33763.999988425923</v>
      </c>
      <c r="J5" s="5" t="s">
        <v>25</v>
      </c>
      <c r="K5" s="5" t="s">
        <v>26</v>
      </c>
      <c r="L5" t="str">
        <f>Constants!$B$4</f>
        <v>administrator@footballoracle.co.uk</v>
      </c>
      <c r="M5" s="2" t="str">
        <f t="shared" ca="1" si="1"/>
        <v>2014-08-22 08:22:04</v>
      </c>
      <c r="N5" t="str">
        <f t="shared" si="2"/>
        <v>administrator@footballoracle.co.uk</v>
      </c>
      <c r="O5" s="2" t="str">
        <f t="shared" ca="1" si="3"/>
        <v>2014-08-22 08:22:04</v>
      </c>
    </row>
    <row r="6" spans="1:15" x14ac:dyDescent="0.25">
      <c r="A6" t="str">
        <f t="shared" si="0"/>
        <v>4AC2C8CF-4DBA-4E14-8DE2-9016EF0A0C41</v>
      </c>
      <c r="B6" t="str">
        <f>B5</f>
        <v>6E827022-002E-4CEE-A0D0-BA69CE1D3B84</v>
      </c>
      <c r="C6" s="5" t="s">
        <v>345</v>
      </c>
      <c r="D6" t="str">
        <f>OrganisationV!B$22</f>
        <v>367EE563-68EB-444C-8E40-C1C2875BF63D</v>
      </c>
      <c r="E6">
        <v>1</v>
      </c>
      <c r="F6">
        <v>3</v>
      </c>
      <c r="G6" t="s">
        <v>2</v>
      </c>
      <c r="H6" s="3">
        <v>33764</v>
      </c>
      <c r="I6" s="3">
        <v>38146.999988425923</v>
      </c>
      <c r="J6" s="5" t="s">
        <v>25</v>
      </c>
      <c r="K6" s="5" t="s">
        <v>26</v>
      </c>
      <c r="L6" t="str">
        <f>Constants!$B$4</f>
        <v>administrator@footballoracle.co.uk</v>
      </c>
      <c r="M6" s="2" t="str">
        <f t="shared" ca="1" si="1"/>
        <v>2014-08-22 08:22:04</v>
      </c>
      <c r="N6" t="str">
        <f t="shared" si="2"/>
        <v>administrator@footballoracle.co.uk</v>
      </c>
      <c r="O6" s="2" t="str">
        <f t="shared" ca="1" si="3"/>
        <v>2014-08-22 08:22:04</v>
      </c>
    </row>
    <row r="7" spans="1:15" x14ac:dyDescent="0.25">
      <c r="A7" t="str">
        <f t="shared" si="0"/>
        <v>B3E21C9C-C69D-482F-8F8A-E4198EDB849F</v>
      </c>
      <c r="B7" t="str">
        <f>B5</f>
        <v>6E827022-002E-4CEE-A0D0-BA69CE1D3B84</v>
      </c>
      <c r="C7" s="5" t="s">
        <v>348</v>
      </c>
      <c r="D7" t="str">
        <f>OrganisationV!B$22</f>
        <v>367EE563-68EB-444C-8E40-C1C2875BF63D</v>
      </c>
      <c r="E7">
        <v>1</v>
      </c>
      <c r="F7">
        <v>3</v>
      </c>
      <c r="G7" t="s">
        <v>2</v>
      </c>
      <c r="H7" s="3">
        <v>38147</v>
      </c>
      <c r="I7" s="3" t="str">
        <f>VLOOKUP("highdate",DateConstants,2)</f>
        <v>2999-12-31  23:59:59</v>
      </c>
      <c r="J7" s="5" t="s">
        <v>25</v>
      </c>
      <c r="K7" s="5" t="s">
        <v>26</v>
      </c>
      <c r="L7" t="str">
        <f>Constants!$B$4</f>
        <v>administrator@footballoracle.co.uk</v>
      </c>
      <c r="M7" s="2" t="str">
        <f t="shared" ca="1" si="1"/>
        <v>2014-08-22 08:22:04</v>
      </c>
      <c r="N7" t="str">
        <f t="shared" si="2"/>
        <v>administrator@footballoracle.co.uk</v>
      </c>
      <c r="O7" s="2" t="str">
        <f t="shared" ca="1" si="3"/>
        <v>2014-08-22 08:22:04</v>
      </c>
    </row>
    <row r="8" spans="1:15" x14ac:dyDescent="0.25">
      <c r="A8" t="str">
        <f t="shared" si="0"/>
        <v>D37DAE28-C59B-4FD6-AD67-F261371E3A7E</v>
      </c>
      <c r="B8" t="str">
        <f>Competition!A5</f>
        <v>18615B9B-4EB4-4190-AD02-9235A09FEFE7</v>
      </c>
      <c r="C8" s="5" t="s">
        <v>349</v>
      </c>
      <c r="D8" t="str">
        <f>OrganisationV!B$22</f>
        <v>367EE563-68EB-444C-8E40-C1C2875BF63D</v>
      </c>
      <c r="E8">
        <v>1</v>
      </c>
      <c r="F8">
        <v>3</v>
      </c>
      <c r="G8" t="s">
        <v>2</v>
      </c>
      <c r="H8" s="3">
        <v>7466</v>
      </c>
      <c r="I8" s="3">
        <v>7830.9999884259259</v>
      </c>
      <c r="J8" s="5" t="s">
        <v>25</v>
      </c>
      <c r="K8" s="5" t="s">
        <v>26</v>
      </c>
      <c r="L8" t="str">
        <f>Constants!$B$4</f>
        <v>administrator@footballoracle.co.uk</v>
      </c>
      <c r="M8" s="2" t="str">
        <f t="shared" ca="1" si="1"/>
        <v>2014-08-22 08:22:04</v>
      </c>
      <c r="N8" t="str">
        <f t="shared" si="2"/>
        <v>administrator@footballoracle.co.uk</v>
      </c>
      <c r="O8" s="2" t="str">
        <f t="shared" ca="1" si="3"/>
        <v>2014-08-22 08:22:04</v>
      </c>
    </row>
    <row r="9" spans="1:15" x14ac:dyDescent="0.25">
      <c r="A9" t="str">
        <f t="shared" si="0"/>
        <v>F6C02B14-9974-4DB6-BC84-23435B228182</v>
      </c>
      <c r="B9" t="str">
        <f>Competition!A6</f>
        <v>F0F4E1B6-5D58-4D2E-A1C9-AC7CB928BA2E</v>
      </c>
      <c r="C9" s="5" t="s">
        <v>350</v>
      </c>
      <c r="D9" t="str">
        <f>OrganisationV!B$22</f>
        <v>367EE563-68EB-444C-8E40-C1C2875BF63D</v>
      </c>
      <c r="E9">
        <v>1</v>
      </c>
      <c r="F9">
        <v>3</v>
      </c>
      <c r="G9" t="s">
        <v>2</v>
      </c>
      <c r="H9" s="3">
        <v>7831</v>
      </c>
      <c r="I9" s="3">
        <v>21344.999988425927</v>
      </c>
      <c r="J9" s="5" t="s">
        <v>25</v>
      </c>
      <c r="K9" s="5" t="s">
        <v>26</v>
      </c>
      <c r="L9" t="str">
        <f>Constants!$B$4</f>
        <v>administrator@footballoracle.co.uk</v>
      </c>
      <c r="M9" s="2" t="str">
        <f t="shared" ca="1" si="1"/>
        <v>2014-08-22 08:22:04</v>
      </c>
      <c r="N9" t="str">
        <f t="shared" si="2"/>
        <v>administrator@footballoracle.co.uk</v>
      </c>
      <c r="O9" s="2" t="str">
        <f t="shared" ca="1" si="3"/>
        <v>2014-08-22 08:22:04</v>
      </c>
    </row>
    <row r="10" spans="1:15" x14ac:dyDescent="0.25">
      <c r="A10" t="str">
        <f t="shared" si="0"/>
        <v>7117F66D-7B0F-4E26-B48D-BB6F082344E2</v>
      </c>
      <c r="B10" t="str">
        <f>Competition!A7</f>
        <v>262CE077-D4EB-4D10-98C8-5DFFC1A0BDCF</v>
      </c>
      <c r="C10" s="5" t="s">
        <v>351</v>
      </c>
      <c r="D10" t="str">
        <f>OrganisationV!B$22</f>
        <v>367EE563-68EB-444C-8E40-C1C2875BF63D</v>
      </c>
      <c r="E10">
        <v>1</v>
      </c>
      <c r="F10">
        <v>3</v>
      </c>
      <c r="G10" t="s">
        <v>2</v>
      </c>
      <c r="H10" s="3">
        <v>7831</v>
      </c>
      <c r="I10" s="3">
        <v>21344.999988425927</v>
      </c>
      <c r="J10" s="5" t="s">
        <v>25</v>
      </c>
      <c r="K10" s="5" t="s">
        <v>26</v>
      </c>
      <c r="L10" t="str">
        <f>Constants!$B$4</f>
        <v>administrator@footballoracle.co.uk</v>
      </c>
      <c r="M10" s="2" t="str">
        <f t="shared" ca="1" si="1"/>
        <v>2014-08-22 08:22:04</v>
      </c>
      <c r="N10" t="str">
        <f t="shared" si="2"/>
        <v>administrator@footballoracle.co.uk</v>
      </c>
      <c r="O10" s="2" t="str">
        <f t="shared" ca="1" si="3"/>
        <v>2014-08-22 08:22:04</v>
      </c>
    </row>
    <row r="11" spans="1:15" x14ac:dyDescent="0.25">
      <c r="A11" t="str">
        <f t="shared" si="0"/>
        <v>BEF44EF6-E555-4AA5-BED9-7A550768F2B4</v>
      </c>
      <c r="B11" t="str">
        <f>Competition!A8</f>
        <v>F7F8F378-7CDF-4E1C-87DF-655A367D57C1</v>
      </c>
      <c r="C11" s="5" t="s">
        <v>349</v>
      </c>
      <c r="D11" t="str">
        <f>OrganisationV!B$22</f>
        <v>367EE563-68EB-444C-8E40-C1C2875BF63D</v>
      </c>
      <c r="E11">
        <v>1</v>
      </c>
      <c r="F11">
        <v>3</v>
      </c>
      <c r="G11" t="s">
        <v>2</v>
      </c>
      <c r="H11" s="3">
        <v>21345</v>
      </c>
      <c r="I11" s="3">
        <v>33763.999988425923</v>
      </c>
      <c r="J11" s="5" t="s">
        <v>25</v>
      </c>
      <c r="K11" s="5" t="s">
        <v>26</v>
      </c>
      <c r="L11" t="str">
        <f>Constants!$B$4</f>
        <v>administrator@footballoracle.co.uk</v>
      </c>
      <c r="M11" s="2" t="str">
        <f t="shared" ca="1" si="1"/>
        <v>2014-08-22 08:22:04</v>
      </c>
      <c r="N11" t="str">
        <f t="shared" si="2"/>
        <v>administrator@footballoracle.co.uk</v>
      </c>
      <c r="O11" s="2" t="str">
        <f t="shared" ca="1" si="3"/>
        <v>2014-08-22 08:22:04</v>
      </c>
    </row>
    <row r="12" spans="1:15" x14ac:dyDescent="0.25">
      <c r="A12" t="str">
        <f t="shared" si="0"/>
        <v>B158EFA2-152E-4C23-8031-2755CD8A0601</v>
      </c>
      <c r="B12" t="str">
        <f>B11</f>
        <v>F7F8F378-7CDF-4E1C-87DF-655A367D57C1</v>
      </c>
      <c r="C12" s="5" t="s">
        <v>347</v>
      </c>
      <c r="D12" t="str">
        <f>OrganisationV!B$22</f>
        <v>367EE563-68EB-444C-8E40-C1C2875BF63D</v>
      </c>
      <c r="E12">
        <v>1</v>
      </c>
      <c r="F12">
        <v>3</v>
      </c>
      <c r="G12" t="s">
        <v>2</v>
      </c>
      <c r="H12" s="3">
        <v>33764</v>
      </c>
      <c r="I12" s="3">
        <v>38146.999988425923</v>
      </c>
      <c r="J12" s="5" t="s">
        <v>25</v>
      </c>
      <c r="K12" s="5" t="s">
        <v>26</v>
      </c>
      <c r="L12" t="str">
        <f>Constants!$B$4</f>
        <v>administrator@footballoracle.co.uk</v>
      </c>
      <c r="M12" s="2" t="str">
        <f t="shared" ca="1" si="1"/>
        <v>2014-08-22 08:22:04</v>
      </c>
      <c r="N12" t="str">
        <f t="shared" si="2"/>
        <v>administrator@footballoracle.co.uk</v>
      </c>
      <c r="O12" s="2" t="str">
        <f t="shared" ca="1" si="3"/>
        <v>2014-08-22 08:22:04</v>
      </c>
    </row>
    <row r="13" spans="1:15" x14ac:dyDescent="0.25">
      <c r="A13" t="str">
        <f t="shared" si="0"/>
        <v>7F9EC12E-C04D-4674-8742-CA63729A3C3E</v>
      </c>
      <c r="B13" t="str">
        <f>B11</f>
        <v>F7F8F378-7CDF-4E1C-87DF-655A367D57C1</v>
      </c>
      <c r="C13" s="5" t="s">
        <v>352</v>
      </c>
      <c r="D13" t="str">
        <f>OrganisationV!B$22</f>
        <v>367EE563-68EB-444C-8E40-C1C2875BF63D</v>
      </c>
      <c r="E13">
        <v>1</v>
      </c>
      <c r="F13">
        <v>3</v>
      </c>
      <c r="G13" t="s">
        <v>2</v>
      </c>
      <c r="H13" s="3">
        <v>38147</v>
      </c>
      <c r="I13" s="3" t="str">
        <f>VLOOKUP("highdate",DateConstants,2)</f>
        <v>2999-12-31  23:59:59</v>
      </c>
      <c r="J13" s="5" t="s">
        <v>25</v>
      </c>
      <c r="K13" s="5" t="s">
        <v>26</v>
      </c>
      <c r="L13" t="str">
        <f>Constants!$B$4</f>
        <v>administrator@footballoracle.co.uk</v>
      </c>
      <c r="M13" s="2" t="str">
        <f t="shared" ca="1" si="1"/>
        <v>2014-08-22 08:22:04</v>
      </c>
      <c r="N13" t="str">
        <f t="shared" si="2"/>
        <v>administrator@footballoracle.co.uk</v>
      </c>
      <c r="O13" s="2" t="str">
        <f t="shared" ca="1" si="3"/>
        <v>2014-08-22 08:22:04</v>
      </c>
    </row>
    <row r="14" spans="1:15" x14ac:dyDescent="0.25">
      <c r="A14" t="str">
        <f t="shared" si="0"/>
        <v>EB277ED3-048C-4589-890E-0728C0881B52</v>
      </c>
      <c r="B14" t="str">
        <f>Competition!A9</f>
        <v>FCF39C98-DEB4-433F-B70A-8EF1F6BA85C8</v>
      </c>
      <c r="C14" s="5" t="s">
        <v>353</v>
      </c>
      <c r="D14" t="str">
        <f>OrganisationV!B$22</f>
        <v>367EE563-68EB-444C-8E40-C1C2875BF63D</v>
      </c>
      <c r="E14">
        <v>1</v>
      </c>
      <c r="F14">
        <v>3</v>
      </c>
      <c r="G14" t="s">
        <v>2</v>
      </c>
      <c r="H14" s="3">
        <v>21345</v>
      </c>
      <c r="I14" s="3">
        <v>33763.999988425923</v>
      </c>
      <c r="J14" s="5" t="s">
        <v>25</v>
      </c>
      <c r="K14" s="5" t="s">
        <v>26</v>
      </c>
      <c r="L14" t="str">
        <f>Constants!$B$4</f>
        <v>administrator@footballoracle.co.uk</v>
      </c>
      <c r="M14" s="2" t="str">
        <f t="shared" ca="1" si="1"/>
        <v>2014-08-22 08:22:04</v>
      </c>
      <c r="N14" t="str">
        <f t="shared" si="2"/>
        <v>administrator@footballoracle.co.uk</v>
      </c>
      <c r="O14" s="2" t="str">
        <f t="shared" ca="1" si="3"/>
        <v>2014-08-22 08:22:04</v>
      </c>
    </row>
    <row r="15" spans="1:15" x14ac:dyDescent="0.25">
      <c r="A15" t="str">
        <f t="shared" si="0"/>
        <v>5782DC36-3995-45B1-921A-028A276C0315</v>
      </c>
      <c r="B15" t="str">
        <f>B14</f>
        <v>FCF39C98-DEB4-433F-B70A-8EF1F6BA85C8</v>
      </c>
      <c r="C15" s="5" t="s">
        <v>349</v>
      </c>
      <c r="D15" t="str">
        <f>OrganisationV!B$22</f>
        <v>367EE563-68EB-444C-8E40-C1C2875BF63D</v>
      </c>
      <c r="E15">
        <v>1</v>
      </c>
      <c r="F15">
        <v>3</v>
      </c>
      <c r="G15" t="s">
        <v>2</v>
      </c>
      <c r="H15" s="3">
        <v>33764</v>
      </c>
      <c r="I15" s="3">
        <v>38146.999988425923</v>
      </c>
      <c r="J15" s="5" t="s">
        <v>25</v>
      </c>
      <c r="K15" s="5" t="s">
        <v>26</v>
      </c>
      <c r="L15" t="str">
        <f>Constants!$B$4</f>
        <v>administrator@footballoracle.co.uk</v>
      </c>
      <c r="M15" s="2" t="str">
        <f t="shared" ca="1" si="1"/>
        <v>2014-08-22 08:22:04</v>
      </c>
      <c r="N15" t="str">
        <f t="shared" si="2"/>
        <v>administrator@footballoracle.co.uk</v>
      </c>
      <c r="O15" s="2" t="str">
        <f t="shared" ca="1" si="3"/>
        <v>2014-08-22 08:22:04</v>
      </c>
    </row>
    <row r="16" spans="1:15" x14ac:dyDescent="0.25">
      <c r="A16" t="str">
        <f t="shared" si="0"/>
        <v>C06DA196-9B33-4E49-AAF7-E2B68FC072CF</v>
      </c>
      <c r="B16" t="str">
        <f>B14</f>
        <v>FCF39C98-DEB4-433F-B70A-8EF1F6BA85C8</v>
      </c>
      <c r="C16" s="5" t="s">
        <v>354</v>
      </c>
      <c r="D16" t="str">
        <f>OrganisationV!B$22</f>
        <v>367EE563-68EB-444C-8E40-C1C2875BF63D</v>
      </c>
      <c r="E16">
        <v>1</v>
      </c>
      <c r="F16">
        <v>3</v>
      </c>
      <c r="G16" t="s">
        <v>2</v>
      </c>
      <c r="H16" s="3">
        <v>38147</v>
      </c>
      <c r="I16" s="3" t="str">
        <f>VLOOKUP("highdate",DateConstants,2)</f>
        <v>2999-12-31  23:59:59</v>
      </c>
      <c r="J16" s="5" t="s">
        <v>25</v>
      </c>
      <c r="K16" s="5" t="s">
        <v>26</v>
      </c>
      <c r="L16" t="str">
        <f>Constants!$B$4</f>
        <v>administrator@footballoracle.co.uk</v>
      </c>
      <c r="M16" s="2" t="str">
        <f t="shared" ca="1" si="1"/>
        <v>2014-08-22 08:22:04</v>
      </c>
      <c r="N16" t="str">
        <f t="shared" si="2"/>
        <v>administrator@footballoracle.co.uk</v>
      </c>
      <c r="O16" s="2" t="str">
        <f t="shared" ca="1" si="3"/>
        <v>2014-08-22 08:22:04</v>
      </c>
    </row>
    <row r="17" spans="1:15" x14ac:dyDescent="0.25">
      <c r="A17" t="str">
        <f t="shared" si="0"/>
        <v>A9B68FF6-148A-40C6-9485-38C2B1EAEF61</v>
      </c>
      <c r="B17" t="str">
        <f>Competition!A10</f>
        <v>EC080526-B223-4C28-84E6-C058A8B2F4F6</v>
      </c>
      <c r="C17" s="5" t="s">
        <v>355</v>
      </c>
      <c r="D17" t="str">
        <f>OrganisationV!B$23</f>
        <v>6F16DC7D-23F4-4F02-864A-CB629BD5444C</v>
      </c>
      <c r="E17">
        <v>1</v>
      </c>
      <c r="F17">
        <v>3</v>
      </c>
      <c r="G17" t="s">
        <v>2</v>
      </c>
      <c r="H17" s="3">
        <v>29015</v>
      </c>
      <c r="I17" s="3">
        <v>31936.999988425927</v>
      </c>
      <c r="J17" s="5" t="s">
        <v>25</v>
      </c>
      <c r="K17" s="5" t="s">
        <v>26</v>
      </c>
      <c r="L17" t="str">
        <f>Constants!$B$4</f>
        <v>administrator@footballoracle.co.uk</v>
      </c>
      <c r="M17" s="2" t="str">
        <f t="shared" ca="1" si="1"/>
        <v>2014-08-22 08:22:04</v>
      </c>
      <c r="N17" t="str">
        <f t="shared" si="2"/>
        <v>administrator@footballoracle.co.uk</v>
      </c>
      <c r="O17" s="2" t="str">
        <f t="shared" ca="1" si="3"/>
        <v>2014-08-22 08:22:04</v>
      </c>
    </row>
    <row r="18" spans="1:15" x14ac:dyDescent="0.25">
      <c r="A18" t="str">
        <f t="shared" si="0"/>
        <v>112FE926-FB62-463C-84A3-DCBA68C88513</v>
      </c>
      <c r="B18" t="str">
        <f>B17</f>
        <v>EC080526-B223-4C28-84E6-C058A8B2F4F6</v>
      </c>
      <c r="C18" s="5" t="s">
        <v>356</v>
      </c>
      <c r="D18" t="str">
        <f>OrganisationV!B$23</f>
        <v>6F16DC7D-23F4-4F02-864A-CB629BD5444C</v>
      </c>
      <c r="E18">
        <v>1</v>
      </c>
      <c r="F18">
        <v>3</v>
      </c>
      <c r="G18" t="s">
        <v>2</v>
      </c>
      <c r="H18" s="3">
        <v>31937</v>
      </c>
      <c r="I18" s="3">
        <v>38146.999988425923</v>
      </c>
      <c r="J18" s="5" t="s">
        <v>25</v>
      </c>
      <c r="K18" s="5" t="s">
        <v>26</v>
      </c>
      <c r="L18" t="str">
        <f>Constants!$B$4</f>
        <v>administrator@footballoracle.co.uk</v>
      </c>
      <c r="M18" s="2" t="str">
        <f t="shared" ca="1" si="1"/>
        <v>2014-08-22 08:22:04</v>
      </c>
      <c r="N18" t="str">
        <f t="shared" si="2"/>
        <v>administrator@footballoracle.co.uk</v>
      </c>
      <c r="O18" s="2" t="str">
        <f t="shared" ca="1" si="3"/>
        <v>2014-08-22 08:22:04</v>
      </c>
    </row>
    <row r="19" spans="1:15" x14ac:dyDescent="0.25">
      <c r="A19" t="str">
        <f t="shared" si="0"/>
        <v>8F5FE042-7735-47EC-AE29-7FA80ABF39E9</v>
      </c>
      <c r="B19" t="str">
        <f>B17</f>
        <v>EC080526-B223-4C28-84E6-C058A8B2F4F6</v>
      </c>
      <c r="C19" s="5" t="s">
        <v>357</v>
      </c>
      <c r="D19" t="str">
        <f>OrganisationV!B$23</f>
        <v>6F16DC7D-23F4-4F02-864A-CB629BD5444C</v>
      </c>
      <c r="E19">
        <v>1</v>
      </c>
      <c r="F19">
        <v>3</v>
      </c>
      <c r="G19" t="s">
        <v>2</v>
      </c>
      <c r="H19" s="3">
        <v>38147</v>
      </c>
      <c r="I19" s="3" t="str">
        <f>VLOOKUP("highdate",DateConstants,2)</f>
        <v>2999-12-31  23:59:59</v>
      </c>
      <c r="J19" s="5" t="s">
        <v>25</v>
      </c>
      <c r="K19" s="5" t="s">
        <v>26</v>
      </c>
      <c r="L19" t="str">
        <f>Constants!$B$4</f>
        <v>administrator@footballoracle.co.uk</v>
      </c>
      <c r="M19" s="2" t="str">
        <f t="shared" ca="1" si="1"/>
        <v>2014-08-22 08:22:04</v>
      </c>
      <c r="N19" t="str">
        <f t="shared" si="2"/>
        <v>administrator@footballoracle.co.uk</v>
      </c>
      <c r="O19" s="2" t="str">
        <f t="shared" ca="1" si="3"/>
        <v>2014-08-22 08:22:04</v>
      </c>
    </row>
    <row r="20" spans="1:15" x14ac:dyDescent="0.25">
      <c r="A20" t="str">
        <f t="shared" si="0"/>
        <v>1CB19BB8-4927-4AB7-B205-0FBAF253EAD1</v>
      </c>
      <c r="B20" t="str">
        <f>Competition!A11</f>
        <v>27478A48-5119-4241-9438-220B6FE951A0</v>
      </c>
      <c r="C20" s="5" t="s">
        <v>358</v>
      </c>
      <c r="D20" t="str">
        <f>OrganisationV!B$24</f>
        <v>DC22E87A-7DA6-4529-8F63-3CE526A52E81</v>
      </c>
      <c r="E20">
        <v>1</v>
      </c>
      <c r="F20">
        <v>3</v>
      </c>
      <c r="G20" t="s">
        <v>2</v>
      </c>
      <c r="H20" s="3">
        <v>41434</v>
      </c>
      <c r="I20" s="3" t="str">
        <f>VLOOKUP("highdate",DateConstants,2)</f>
        <v>2999-12-31  23:59:59</v>
      </c>
      <c r="J20" s="5" t="s">
        <v>25</v>
      </c>
      <c r="K20" s="5" t="s">
        <v>26</v>
      </c>
      <c r="L20" t="str">
        <f>Constants!$B$4</f>
        <v>administrator@footballoracle.co.uk</v>
      </c>
      <c r="M20" s="2" t="str">
        <f t="shared" ca="1" si="1"/>
        <v>2014-08-22 08:22:04</v>
      </c>
      <c r="N20" t="str">
        <f t="shared" si="2"/>
        <v>administrator@footballoracle.co.uk</v>
      </c>
      <c r="O20" s="2" t="str">
        <f t="shared" ca="1" si="3"/>
        <v>2014-08-22 08:22:04</v>
      </c>
    </row>
    <row r="21" spans="1:15" x14ac:dyDescent="0.25">
      <c r="A21" t="str">
        <f t="shared" si="0"/>
        <v>CCECDBE0-035A-41B2-96B9-5230C2D1080D</v>
      </c>
      <c r="B21" t="str">
        <f>B20</f>
        <v>27478A48-5119-4241-9438-220B6FE951A0</v>
      </c>
      <c r="C21" s="5" t="s">
        <v>359</v>
      </c>
      <c r="D21" t="str">
        <f>OrganisationV!B$24</f>
        <v>DC22E87A-7DA6-4529-8F63-3CE526A52E81</v>
      </c>
      <c r="E21">
        <v>1</v>
      </c>
      <c r="F21">
        <v>3</v>
      </c>
      <c r="G21" t="s">
        <v>2</v>
      </c>
      <c r="H21" s="3">
        <v>35955</v>
      </c>
      <c r="I21" s="3">
        <v>41433.999988425923</v>
      </c>
      <c r="J21" s="5" t="s">
        <v>25</v>
      </c>
      <c r="K21" s="5" t="s">
        <v>26</v>
      </c>
      <c r="L21" t="str">
        <f>Constants!$B$4</f>
        <v>administrator@footballoracle.co.uk</v>
      </c>
      <c r="M21" s="2" t="str">
        <f t="shared" ca="1" si="1"/>
        <v>2014-08-22 08:22:04</v>
      </c>
      <c r="N21" t="str">
        <f t="shared" si="2"/>
        <v>administrator@footballoracle.co.uk</v>
      </c>
      <c r="O21" s="2" t="str">
        <f t="shared" ca="1" si="3"/>
        <v>2014-08-22 08:22:04</v>
      </c>
    </row>
    <row r="22" spans="1:15" x14ac:dyDescent="0.25">
      <c r="A22" t="str">
        <f t="shared" ref="A22:A24" si="4">GetGuid()</f>
        <v>BD3FA34F-358E-4CE3-9F56-83C9BB597DA0</v>
      </c>
      <c r="B22" t="str">
        <f>B20</f>
        <v>27478A48-5119-4241-9438-220B6FE951A0</v>
      </c>
      <c r="C22" s="5" t="s">
        <v>360</v>
      </c>
      <c r="D22" t="str">
        <f>OrganisationV!B$24</f>
        <v>DC22E87A-7DA6-4529-8F63-3CE526A52E81</v>
      </c>
      <c r="E22">
        <v>1</v>
      </c>
      <c r="F22">
        <v>3</v>
      </c>
      <c r="G22" t="s">
        <v>2</v>
      </c>
      <c r="H22" s="3">
        <v>27554</v>
      </c>
      <c r="I22" s="3">
        <v>35954.999988425923</v>
      </c>
      <c r="J22" s="5" t="s">
        <v>25</v>
      </c>
      <c r="K22" s="5" t="s">
        <v>26</v>
      </c>
      <c r="L22" t="str">
        <f>Constants!$B$4</f>
        <v>administrator@footballoracle.co.uk</v>
      </c>
      <c r="M22" s="2" t="str">
        <f t="shared" ref="M22:M24" ca="1" si="5">TEXT(NOW(), "yyyy-MM-dd hh:mm:ss")</f>
        <v>2014-08-22 08:22:04</v>
      </c>
      <c r="N22" t="str">
        <f t="shared" ref="N22:N24" si="6">L22</f>
        <v>administrator@footballoracle.co.uk</v>
      </c>
      <c r="O22" s="2" t="str">
        <f t="shared" ca="1" si="3"/>
        <v>2014-08-22 08:22:04</v>
      </c>
    </row>
    <row r="23" spans="1:15" x14ac:dyDescent="0.25">
      <c r="A23" t="str">
        <f t="shared" si="4"/>
        <v>812316A8-E5AE-4FB7-B6A5-46A6091E7430</v>
      </c>
      <c r="B23" t="str">
        <f>B20</f>
        <v>27478A48-5119-4241-9438-220B6FE951A0</v>
      </c>
      <c r="C23" s="5" t="s">
        <v>361</v>
      </c>
      <c r="D23" t="str">
        <f>OrganisationV!B$24</f>
        <v>DC22E87A-7DA6-4529-8F63-3CE526A52E81</v>
      </c>
      <c r="E23">
        <v>1</v>
      </c>
      <c r="F23">
        <v>3</v>
      </c>
      <c r="G23" t="s">
        <v>2</v>
      </c>
      <c r="H23" s="3" t="s">
        <v>363</v>
      </c>
      <c r="I23" s="3">
        <v>27553.999988425927</v>
      </c>
      <c r="J23" s="5" t="s">
        <v>25</v>
      </c>
      <c r="K23" s="5" t="s">
        <v>26</v>
      </c>
      <c r="L23" t="str">
        <f>Constants!$B$4</f>
        <v>administrator@footballoracle.co.uk</v>
      </c>
      <c r="M23" s="2" t="str">
        <f t="shared" ca="1" si="5"/>
        <v>2014-08-22 08:22:04</v>
      </c>
      <c r="N23" t="str">
        <f t="shared" si="6"/>
        <v>administrator@footballoracle.co.uk</v>
      </c>
      <c r="O23" s="2" t="str">
        <f t="shared" ca="1" si="3"/>
        <v>2014-08-22 08:22:04</v>
      </c>
    </row>
    <row r="24" spans="1:15" x14ac:dyDescent="0.25">
      <c r="A24" t="str">
        <f t="shared" si="4"/>
        <v>9AE2C79A-614D-4BBD-947C-34DACF661521</v>
      </c>
      <c r="B24" t="str">
        <f>B20</f>
        <v>27478A48-5119-4241-9438-220B6FE951A0</v>
      </c>
      <c r="C24" s="5" t="s">
        <v>362</v>
      </c>
      <c r="D24" t="str">
        <f>OrganisationV!B$24</f>
        <v>DC22E87A-7DA6-4529-8F63-3CE526A52E81</v>
      </c>
      <c r="E24">
        <v>1</v>
      </c>
      <c r="F24">
        <v>3</v>
      </c>
      <c r="G24" t="s">
        <v>2</v>
      </c>
      <c r="H24" s="3" t="s">
        <v>364</v>
      </c>
      <c r="I24" s="3" t="s">
        <v>365</v>
      </c>
      <c r="J24" s="5" t="s">
        <v>25</v>
      </c>
      <c r="K24" s="5" t="s">
        <v>26</v>
      </c>
      <c r="L24" t="str">
        <f>Constants!$B$4</f>
        <v>administrator@footballoracle.co.uk</v>
      </c>
      <c r="M24" s="2" t="str">
        <f t="shared" ca="1" si="5"/>
        <v>2014-08-22 08:22:04</v>
      </c>
      <c r="N24" t="str">
        <f t="shared" si="6"/>
        <v>administrator@footballoracle.co.uk</v>
      </c>
      <c r="O24" s="2" t="str">
        <f t="shared" ca="1" si="3"/>
        <v>2014-08-22 08:22:04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Constants</vt:lpstr>
      <vt:lpstr>Organisation</vt:lpstr>
      <vt:lpstr>OrganisationV</vt:lpstr>
      <vt:lpstr>Country</vt:lpstr>
      <vt:lpstr>CountryV</vt:lpstr>
      <vt:lpstr>Competition</vt:lpstr>
      <vt:lpstr>CompetitionV</vt:lpstr>
      <vt:lpstr>AdminLookup</vt:lpstr>
      <vt:lpstr>DateConstants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Bason, Alun</dc:creator>
  <cp:lastModifiedBy>Alun</cp:lastModifiedBy>
  <dcterms:created xsi:type="dcterms:W3CDTF">2014-08-21T10:02:25Z</dcterms:created>
  <dcterms:modified xsi:type="dcterms:W3CDTF">2014-08-22T07:22:20Z</dcterms:modified>
</cp:coreProperties>
</file>